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phdisegutl-my.sharepoint.com/personal/l62150_aln_iseg_ulisboa_pt/Documents/Documents/Personal/Projects/"/>
    </mc:Choice>
  </mc:AlternateContent>
  <xr:revisionPtr revIDLastSave="1353" documentId="8_{EF72F97C-2CA9-425C-845F-E6C6627EA93E}" xr6:coauthVersionLast="47" xr6:coauthVersionMax="47" xr10:uidLastSave="{387752C3-7141-448E-93E0-0A512A03F39E}"/>
  <bookViews>
    <workbookView xWindow="15" yWindow="15" windowWidth="20460" windowHeight="10770" xr2:uid="{B92E07EC-2AC3-484A-92CA-0954043E2BAD}"/>
  </bookViews>
  <sheets>
    <sheet name="Assumptions" sheetId="1" r:id="rId1"/>
    <sheet name="Historical Fin" sheetId="2" r:id="rId2"/>
    <sheet name="Forecast " sheetId="3" r:id="rId3"/>
    <sheet name="DCF" sheetId="4" r:id="rId4"/>
    <sheet name="Sensitives" sheetId="5" r:id="rId5"/>
    <sheet name="Scenarios" sheetId="6" r:id="rId6"/>
    <sheet name="Thesis &amp; Reccomendatio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 l="1"/>
  <c r="B3" i="3" s="1"/>
  <c r="B17" i="1"/>
  <c r="B16" i="1"/>
  <c r="B6" i="1"/>
  <c r="C6" i="1" s="1"/>
  <c r="D6" i="1" s="1"/>
  <c r="E6" i="1" s="1"/>
  <c r="F6" i="1" s="1"/>
  <c r="G6" i="1" s="1"/>
  <c r="H6" i="1" s="1"/>
  <c r="I6" i="1" s="1"/>
  <c r="J6" i="1" s="1"/>
  <c r="K6" i="1" s="1"/>
  <c r="B4" i="1"/>
  <c r="C4" i="1" s="1"/>
  <c r="D4" i="1" s="1"/>
  <c r="E4" i="1" s="1"/>
  <c r="F4" i="1" s="1"/>
  <c r="G4" i="1" s="1"/>
  <c r="H4" i="1" s="1"/>
  <c r="I4" i="1" s="1"/>
  <c r="J4" i="1" s="1"/>
  <c r="K4" i="1" s="1"/>
  <c r="K5" i="1"/>
  <c r="J5" i="1"/>
  <c r="I5" i="1"/>
  <c r="H5" i="1"/>
  <c r="G5" i="1"/>
  <c r="F5" i="1"/>
  <c r="E5" i="1"/>
  <c r="D5" i="1"/>
  <c r="B13" i="1"/>
  <c r="B18" i="1"/>
  <c r="C24" i="2"/>
  <c r="D24" i="2"/>
  <c r="E24" i="2"/>
  <c r="F24" i="2"/>
  <c r="G24" i="2"/>
  <c r="B24" i="2"/>
  <c r="C23" i="2"/>
  <c r="D23" i="2"/>
  <c r="E23" i="2"/>
  <c r="F23" i="2"/>
  <c r="G23" i="2"/>
  <c r="B23" i="2"/>
  <c r="C22" i="2"/>
  <c r="D22" i="2"/>
  <c r="E22" i="2"/>
  <c r="F22" i="2"/>
  <c r="G22" i="2"/>
  <c r="B22" i="2"/>
  <c r="C21" i="2"/>
  <c r="D21" i="2"/>
  <c r="E21" i="2"/>
  <c r="F21" i="2"/>
  <c r="G21" i="2"/>
  <c r="B21" i="2"/>
  <c r="C20" i="2"/>
  <c r="D20" i="2"/>
  <c r="E20" i="2"/>
  <c r="F20" i="2"/>
  <c r="B20" i="2"/>
  <c r="D19" i="2"/>
  <c r="E19" i="2"/>
  <c r="F19" i="2"/>
  <c r="G19" i="2"/>
  <c r="C19" i="2"/>
  <c r="G7" i="2"/>
  <c r="G20" i="2" s="1"/>
  <c r="B10" i="3" l="1"/>
  <c r="B4" i="3"/>
  <c r="B9" i="3"/>
  <c r="B5" i="3"/>
  <c r="C3" i="1"/>
  <c r="D3" i="1" s="1"/>
  <c r="E3" i="1" s="1"/>
  <c r="F3" i="1" s="1"/>
  <c r="G3" i="1" s="1"/>
  <c r="H3" i="1" s="1"/>
  <c r="I3" i="1" s="1"/>
  <c r="J3" i="1" s="1"/>
  <c r="K3" i="1" s="1"/>
  <c r="H4" i="4"/>
  <c r="D4" i="4"/>
  <c r="K4" i="4"/>
  <c r="G4" i="4"/>
  <c r="C4" i="4"/>
  <c r="J4" i="4"/>
  <c r="F4" i="4"/>
  <c r="B4" i="4"/>
  <c r="I4" i="4"/>
  <c r="E4" i="4"/>
  <c r="B6" i="3" l="1"/>
  <c r="C3" i="3"/>
  <c r="D3" i="3" l="1"/>
  <c r="C4" i="3"/>
  <c r="C9" i="3"/>
  <c r="C5" i="3"/>
  <c r="C10" i="3"/>
  <c r="B7" i="3"/>
  <c r="B8" i="3" s="1"/>
  <c r="B11" i="3" l="1"/>
  <c r="B3" i="4" s="1"/>
  <c r="B5" i="4" s="1"/>
  <c r="C6" i="3"/>
  <c r="D4" i="3"/>
  <c r="E3" i="3"/>
  <c r="D10" i="3"/>
  <c r="D5" i="3"/>
  <c r="D9" i="3"/>
  <c r="D6" i="3" l="1"/>
  <c r="D7" i="3" s="1"/>
  <c r="D8" i="3" s="1"/>
  <c r="D11" i="3" s="1"/>
  <c r="D3" i="4" s="1"/>
  <c r="D5" i="4" s="1"/>
  <c r="C7" i="3"/>
  <c r="C8" i="3" s="1"/>
  <c r="C11" i="3" s="1"/>
  <c r="C3" i="4" s="1"/>
  <c r="C5" i="4" s="1"/>
  <c r="E9" i="3"/>
  <c r="F3" i="3"/>
  <c r="E4" i="3"/>
  <c r="E10" i="3"/>
  <c r="E5" i="3"/>
  <c r="G3" i="3" l="1"/>
  <c r="F5" i="3"/>
  <c r="F9" i="3"/>
  <c r="F4" i="3"/>
  <c r="F10" i="3"/>
  <c r="E6" i="3"/>
  <c r="E7" i="3" s="1"/>
  <c r="E8" i="3" s="1"/>
  <c r="E11" i="3" s="1"/>
  <c r="E3" i="4" s="1"/>
  <c r="E5" i="4" s="1"/>
  <c r="F6" i="3" l="1"/>
  <c r="F7" i="3" s="1"/>
  <c r="F8" i="3" s="1"/>
  <c r="F11" i="3" s="1"/>
  <c r="F3" i="4" s="1"/>
  <c r="F5" i="4" s="1"/>
  <c r="G10" i="3"/>
  <c r="G9" i="3"/>
  <c r="G4" i="3"/>
  <c r="H3" i="3"/>
  <c r="G5" i="3"/>
  <c r="G6" i="3" l="1"/>
  <c r="G7" i="3" s="1"/>
  <c r="G8" i="3" s="1"/>
  <c r="G11" i="3" s="1"/>
  <c r="G3" i="4" s="1"/>
  <c r="G5" i="4" s="1"/>
  <c r="H9" i="3"/>
  <c r="H4" i="3"/>
  <c r="H5" i="3"/>
  <c r="I3" i="3"/>
  <c r="H10" i="3"/>
  <c r="H6" i="3" l="1"/>
  <c r="H7" i="3" s="1"/>
  <c r="H8" i="3" s="1"/>
  <c r="H11" i="3" s="1"/>
  <c r="H3" i="4" s="1"/>
  <c r="H5" i="4" s="1"/>
  <c r="I9" i="3"/>
  <c r="I10" i="3"/>
  <c r="I4" i="3"/>
  <c r="I5" i="3"/>
  <c r="J3" i="3"/>
  <c r="I6" i="3" l="1"/>
  <c r="I7" i="3" s="1"/>
  <c r="I8" i="3" s="1"/>
  <c r="I11" i="3" s="1"/>
  <c r="I3" i="4" s="1"/>
  <c r="I5" i="4" s="1"/>
  <c r="J9" i="3"/>
  <c r="K3" i="3"/>
  <c r="J5" i="3"/>
  <c r="J10" i="3"/>
  <c r="J4" i="3"/>
  <c r="K5" i="3" l="1"/>
  <c r="K4" i="3"/>
  <c r="K10" i="3"/>
  <c r="K9" i="3"/>
  <c r="J6" i="3"/>
  <c r="J7" i="3" s="1"/>
  <c r="J8" i="3" s="1"/>
  <c r="J11" i="3" s="1"/>
  <c r="J3" i="4" s="1"/>
  <c r="J5" i="4" s="1"/>
  <c r="K6" i="3" l="1"/>
  <c r="K7" i="3" s="1"/>
  <c r="K8" i="3" s="1"/>
  <c r="K11" i="3" s="1"/>
  <c r="K3" i="4" s="1"/>
  <c r="K6" i="4" l="1"/>
  <c r="K7" i="4" s="1"/>
  <c r="K5" i="4"/>
  <c r="K8" i="4" l="1"/>
  <c r="K9" i="4" s="1"/>
  <c r="K10" i="4" s="1"/>
  <c r="I11" i="4" s="1"/>
  <c r="J11" i="4" l="1"/>
  <c r="F11" i="4"/>
  <c r="D5" i="5"/>
  <c r="K11" i="4"/>
  <c r="E11" i="4"/>
  <c r="G11" i="4"/>
  <c r="C11" i="4"/>
  <c r="D11" i="4"/>
  <c r="B11" i="4"/>
  <c r="H11" i="4"/>
</calcChain>
</file>

<file path=xl/sharedStrings.xml><?xml version="1.0" encoding="utf-8"?>
<sst xmlns="http://schemas.openxmlformats.org/spreadsheetml/2006/main" count="141" uniqueCount="86">
  <si>
    <t>Revenue</t>
  </si>
  <si>
    <t>Total Revenue</t>
  </si>
  <si>
    <t>Gross Profit</t>
  </si>
  <si>
    <t>Operating Profit</t>
  </si>
  <si>
    <t>EBITDA</t>
  </si>
  <si>
    <t>Profit from Continuing Operations</t>
  </si>
  <si>
    <t>Total Assets</t>
  </si>
  <si>
    <t>Total Equity</t>
  </si>
  <si>
    <t>Net Cash Position</t>
  </si>
  <si>
    <t>Financial Debt</t>
  </si>
  <si>
    <t>Cash Flows from Operating Activities</t>
  </si>
  <si>
    <t>Purchases of PPE and Intangibles (Capex)</t>
  </si>
  <si>
    <t>Depreciation and Amortization</t>
  </si>
  <si>
    <t>Financial Data (In millions)</t>
  </si>
  <si>
    <t>EBIT*</t>
  </si>
  <si>
    <t>*(the historical figures before 2025 use the company‑defined EBIT)</t>
  </si>
  <si>
    <t>Revenue Growth</t>
  </si>
  <si>
    <t>EBITDA Margin</t>
  </si>
  <si>
    <t>EBIT Margin</t>
  </si>
  <si>
    <t>Effective Tax Rate</t>
  </si>
  <si>
    <t>Capex as % of Revenue</t>
  </si>
  <si>
    <t>D&amp;A as % of Revenue</t>
  </si>
  <si>
    <t>-</t>
  </si>
  <si>
    <t>Income Tax</t>
  </si>
  <si>
    <t>Revenue Growth by Year</t>
  </si>
  <si>
    <t>Target EBITDA Margin by Year</t>
  </si>
  <si>
    <t>Target D&amp;A as % of Revenue</t>
  </si>
  <si>
    <t>Target Capex as % of Revenue</t>
  </si>
  <si>
    <t>Tax Rate</t>
  </si>
  <si>
    <t>Change in net working capital as % of change in revenue</t>
  </si>
  <si>
    <t>Core Operating Assumptions</t>
  </si>
  <si>
    <t>Capital Structure &amp; Valuation Assumptions</t>
  </si>
  <si>
    <t xml:space="preserve">Risk-Free Rate </t>
  </si>
  <si>
    <t>Equity market Risk premium</t>
  </si>
  <si>
    <t>Beta for Infineon</t>
  </si>
  <si>
    <t>Terminal Growth Rate</t>
  </si>
  <si>
    <t>Net Cash or Net Debt</t>
  </si>
  <si>
    <t>WACC</t>
  </si>
  <si>
    <t>Cost of Equity</t>
  </si>
  <si>
    <t xml:space="preserve">Cost of Debt </t>
  </si>
  <si>
    <t>Number of Shares (milions)</t>
  </si>
  <si>
    <t>Debt Weight</t>
  </si>
  <si>
    <t>Forecast</t>
  </si>
  <si>
    <t>D&amp;A</t>
  </si>
  <si>
    <t>Taxes</t>
  </si>
  <si>
    <t>NOPAT</t>
  </si>
  <si>
    <t>Capex</t>
  </si>
  <si>
    <t>Change in Working Capital</t>
  </si>
  <si>
    <t>FCFF</t>
  </si>
  <si>
    <t>DCF</t>
  </si>
  <si>
    <t>Discount Factots</t>
  </si>
  <si>
    <t>Present Value of FCFF</t>
  </si>
  <si>
    <t>Present Value of Terminal Value</t>
  </si>
  <si>
    <t>Entreprise Value</t>
  </si>
  <si>
    <t>Equity Value</t>
  </si>
  <si>
    <t>Implied price per share</t>
  </si>
  <si>
    <t>Terminal Value of FCFF</t>
  </si>
  <si>
    <t>Fair Value</t>
  </si>
  <si>
    <t>Variants</t>
  </si>
  <si>
    <t>Terminal Growth</t>
  </si>
  <si>
    <t>Bull</t>
  </si>
  <si>
    <t>Bear</t>
  </si>
  <si>
    <t>Base</t>
  </si>
  <si>
    <t>Scenario</t>
  </si>
  <si>
    <t>Scenarios</t>
  </si>
  <si>
    <t>Investment Thesis and Recommendation</t>
  </si>
  <si>
    <t>DCF framework and base case</t>
  </si>
  <si>
    <t>Free cash flow to the firm (FCFF) rises from about €1.5bn in 2026 to just over €3.1bn in 2035, after deducting capex and working‑capital investment equal to 6% of revenue growth each year. You discount FCFF at a WACC of 7.89%, derived from a 3% German 10‑year risk‑free rate, 5% equity risk premium, beta of 1.3, 9.5% cost of equity, 4% pre‑tax cost of debt, 25% target debt weight and a 24% tax rate; the terminal value uses a 2.5% perpetual growth rate consistent with long‑run nominal GDP and sector prospects. Summing the present value of explicit FCFF and the terminal value yields an enterprise value of roughly €40.8bn and, after adding net debt of about €4.7bn and dividing by 1,306m shares, an implied price per share of c.€34.9 in the base case.</t>
  </si>
  <si>
    <t>I modeled a 10‑year explicit forecast (FY 2026–2035) using historical data from 2020–2025 and management disclosures. Revenue grows from €14.7bn in 2025 to about €22.5bn by 2035, implying a mid‑single‑digit CAGR in the outer years as growth fades from 9% in 2026 to 2% from 2033 onward. EBITDA margin expands from roughly 21% in 2026 to 25% in 2035, reflecting operating leverage, ongoing efficiency programs and some normalization of under‑utilization costs, while D&amp;A and capex as a percentage of revenue gradually decline from low‑teens into high single digits as the current investment cycle matures.</t>
  </si>
  <si>
    <t>I also compute an “intrinsic value path” by rolling this €34.9 fair value forward at the 9.5% cost of equity, which gives indicative fair values of ~€38.2, €41.8, €45.8, €50.1 and €54.9 in 2026–2030 respectively if the stock were fairly priced today and investors earned their required return. Compared with a spot price around €80–83, the market is discounting much stronger growth and/or structurally higher margins than your conservative model assumes.</t>
  </si>
  <si>
    <t>Scenario Analysis</t>
  </si>
  <si>
    <t>Taken together, the scenario range is wide, but under realistic Base and Bear assumptions the stock looks overvalued at current levels, while the Bull case requires optimistic assumptions about AI data‑center demand, EV penetration and sustained pricing power.</t>
  </si>
  <si>
    <r>
      <rPr>
        <b/>
        <sz val="11"/>
        <color theme="1"/>
        <rFont val="Calibri"/>
        <family val="2"/>
        <scheme val="minor"/>
      </rPr>
      <t>Base</t>
    </r>
    <r>
      <rPr>
        <sz val="11"/>
        <color theme="1"/>
        <rFont val="Calibri"/>
        <family val="2"/>
        <scheme val="minor"/>
      </rPr>
      <t xml:space="preserve"> case (described above) produces a fair value of roughly €34–35 per share, with FCFF roughly doubling over the forecast period and terminal economics anchored by 25% EBITDA margin and 2.5% terminal growth.</t>
    </r>
  </si>
  <si>
    <t>My scenario work tests how coherent changes in operating assumptions translate into valuation.</t>
  </si>
  <si>
    <r>
      <rPr>
        <b/>
        <sz val="11"/>
        <color theme="1"/>
        <rFont val="Calibri"/>
        <family val="2"/>
        <scheme val="minor"/>
      </rPr>
      <t>Bull</t>
    </r>
    <r>
      <rPr>
        <sz val="11"/>
        <color theme="1"/>
        <rFont val="Calibri"/>
        <family val="2"/>
        <scheme val="minor"/>
      </rPr>
      <t xml:space="preserve"> case assumes stronger demand and better execution: higher revenue growth, more aggressive margin expansion, somewhat lower capex intensity and the same discount‑rate framework, leading to a much higher 2035 cash‑flow base. Under these assumptions, implied value reaches around €57 per share by 2035 in your DCF sheet, with near‑term “fair values” along the intrinsic path in the €60–130 range; this essentially reverses the call and suggests upside if Infineon can sustain very strong growth and profitability.</t>
    </r>
  </si>
  <si>
    <r>
      <rPr>
        <b/>
        <sz val="11"/>
        <color theme="1"/>
        <rFont val="Calibri"/>
        <family val="2"/>
        <scheme val="minor"/>
      </rPr>
      <t>Bear</t>
    </r>
    <r>
      <rPr>
        <sz val="11"/>
        <color theme="1"/>
        <rFont val="Calibri"/>
        <family val="2"/>
        <scheme val="minor"/>
      </rPr>
      <t xml:space="preserve"> case reflects slower growth, pressure on margins and sustained capex and working‑capital needs, resulting in more subdued FCFF growth from sub‑€1bn in 2026 to about €1.7bn in 2035. Discounted at the same WACC and terminal growth framework, the Bear case yields implied “fair values” rising from roughly €19–20 in 2026 to around €43–44 by 2035, underlining substantial downside if macro and end‑market conditions disappoint.</t>
    </r>
  </si>
  <si>
    <t>Sensitivity analysis</t>
  </si>
  <si>
    <t>For fixed g = 2.5%, cutting WACC to 7.0% lifts fair value into the low‑€40s, while raising WACC to 9.0% drives it down into the high‑€20s, indicating fairly high sensitivity to the discount rate.</t>
  </si>
  <si>
    <t>For fixed WACC = 7.89%, moving g from 1.5% to 3.5% changes fair value from roughly €31 to €39 per share, showing that terminal growth assumptions matter but less than WACC and operating performance.</t>
  </si>
  <si>
    <t>This sensitivity range still remains well below the current share price for most reasonable WACC/g combinations, which reinforces the conclusion that the market is already pricing in a very bullish trajectory.</t>
  </si>
  <si>
    <t>Risks and catalysts</t>
  </si>
  <si>
    <t>Catalysts to watch are quarterly earnings surprises (particularly on margins and free cash flow), updates on fab utilization and capex plans, and any sizeable M&amp;A or policy changes affecting European semiconductor subsidies.</t>
  </si>
  <si>
    <t>To understand how much the valuation depends on the discount‑rate and terminal‑growth assumptions, I computed a 2‑D sensitivity table of price per share across WACC and g.</t>
  </si>
  <si>
    <t>At my base WACC of 7.89% and g of 2.5%, the table gives about €32–35 per share, broadly consistent with the full DCF result.</t>
  </si>
  <si>
    <r>
      <t xml:space="preserve">Key upside risks to my </t>
    </r>
    <r>
      <rPr>
        <b/>
        <sz val="11"/>
        <color theme="1"/>
        <rFont val="Calibri"/>
        <family val="2"/>
        <scheme val="minor"/>
      </rPr>
      <t>Sell</t>
    </r>
    <r>
      <rPr>
        <sz val="11"/>
        <color theme="1"/>
        <rFont val="Calibri"/>
        <family val="2"/>
        <scheme val="minor"/>
      </rPr>
      <t xml:space="preserve"> thesis include a faster‑than‑expected ramp‑up of AI data‑center demand, stronger EV and renewable‑energy adoption supporting Infineon’s automotive and power segments, and better‑than‑modeled margin expansion from the Step Up program and new fabs. Potential downside risks include cyclicality in semiconductors, delays or cost overruns in capacity additions, prolonged pricing pressure in power discretes, and geopolitical or tariff‑related headwinds impacting demand or supply chains.</t>
    </r>
  </si>
  <si>
    <r>
      <t>Infineon is a leading power and mixed‑signal semiconductor manufacturer exposed to structurally attractive themes such as electric vehicles, renewables and AI‑driven data centers, but its current share price embeds very optimistic expectations. Based on a 10‑year DCF, your base‑case intrinsic value is around €34–35 per share, well below the current market price (~€80–83), implying substantial downside and supporting a </t>
    </r>
    <r>
      <rPr>
        <b/>
        <sz val="11"/>
        <color theme="1"/>
        <rFont val="Calibri"/>
        <family val="2"/>
        <scheme val="minor"/>
      </rPr>
      <t>Sell / Overweight</t>
    </r>
    <r>
      <rPr>
        <sz val="11"/>
        <color theme="1"/>
        <rFont val="Calibri"/>
        <family val="2"/>
        <scheme val="minor"/>
      </rPr>
      <t xml:space="preserve"> downside risk recommendation.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</si>
</sst>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43" formatCode="_-* #,##0.00_-;\-* #,##0.00_-;_-* &quot;-&quot;??_-;_-@_-"/>
    <numFmt numFmtId="164" formatCode="_-* #,##0.00\ [$€-816]_-;\-* #,##0.00\ [$€-816]_-;_-* &quot;-&quot;??\ [$€-816]_-;_-@_-"/>
    <numFmt numFmtId="165" formatCode="0.0%"/>
  </numFmts>
  <fonts count="8" x14ac:knownFonts="1">
    <font>
      <sz val="11"/>
      <color theme="1"/>
      <name val="Calibri"/>
      <family val="2"/>
      <scheme val="minor"/>
    </font>
    <font>
      <b/>
      <sz val="11"/>
      <color theme="0" tint="-4.9989318521683403E-2"/>
      <name val="Calibri"/>
      <family val="2"/>
      <scheme val="minor"/>
    </font>
    <font>
      <sz val="11"/>
      <color theme="1"/>
      <name val="Calibri"/>
      <family val="2"/>
      <scheme val="minor"/>
    </font>
    <font>
      <b/>
      <sz val="11"/>
      <color theme="0"/>
      <name val="Calibri"/>
      <family val="2"/>
      <scheme val="minor"/>
    </font>
    <font>
      <sz val="8"/>
      <color theme="0"/>
      <name val="Calibri"/>
      <family val="2"/>
      <scheme val="minor"/>
    </font>
    <font>
      <sz val="11"/>
      <name val="Calibri"/>
      <family val="2"/>
      <scheme val="minor"/>
    </font>
    <font>
      <b/>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2"/>
        <bgColor indexed="64"/>
      </patternFill>
    </fill>
    <fill>
      <patternFill patternType="solid">
        <fgColor theme="0" tint="-4.9989318521683403E-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110">
    <xf numFmtId="0" fontId="0" fillId="0" borderId="0" xfId="0"/>
    <xf numFmtId="0" fontId="1" fillId="2" borderId="0" xfId="0" applyFont="1" applyFill="1" applyAlignment="1">
      <alignment horizontal="center"/>
    </xf>
    <xf numFmtId="0" fontId="0" fillId="2" borderId="0" xfId="0" applyFill="1"/>
    <xf numFmtId="164" fontId="0" fillId="2" borderId="0" xfId="0" applyNumberFormat="1" applyFill="1"/>
    <xf numFmtId="0" fontId="0" fillId="2" borderId="0" xfId="0" applyFill="1" applyAlignment="1">
      <alignment horizontal="center"/>
    </xf>
    <xf numFmtId="0" fontId="0" fillId="0" borderId="0" xfId="0"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0" xfId="0" applyFill="1"/>
    <xf numFmtId="0" fontId="1" fillId="0" borderId="0" xfId="0" applyFont="1" applyFill="1" applyAlignment="1">
      <alignment horizontal="center"/>
    </xf>
    <xf numFmtId="0" fontId="0" fillId="0" borderId="0" xfId="0" applyFill="1" applyAlignment="1">
      <alignment horizontal="center"/>
    </xf>
    <xf numFmtId="10" fontId="0" fillId="0" borderId="0" xfId="3" applyNumberFormat="1" applyFont="1" applyFill="1"/>
    <xf numFmtId="10" fontId="0" fillId="2" borderId="0" xfId="3" applyNumberFormat="1" applyFont="1" applyFill="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4" xfId="0" applyFont="1" applyFill="1" applyBorder="1" applyAlignment="1">
      <alignment horizontal="center" wrapText="1"/>
    </xf>
    <xf numFmtId="0" fontId="3" fillId="2" borderId="6" xfId="0" applyFont="1" applyFill="1" applyBorder="1" applyAlignment="1">
      <alignment horizontal="center"/>
    </xf>
    <xf numFmtId="9" fontId="0" fillId="3" borderId="0" xfId="3" applyFont="1" applyFill="1" applyBorder="1"/>
    <xf numFmtId="44" fontId="0" fillId="3" borderId="0" xfId="2" applyFont="1" applyFill="1" applyBorder="1"/>
    <xf numFmtId="10" fontId="0" fillId="3" borderId="0" xfId="3" applyNumberFormat="1" applyFont="1" applyFill="1" applyBorder="1"/>
    <xf numFmtId="10" fontId="0" fillId="3" borderId="5" xfId="3" applyNumberFormat="1" applyFont="1" applyFill="1" applyBorder="1"/>
    <xf numFmtId="44" fontId="0" fillId="3" borderId="5" xfId="2" applyFont="1" applyFill="1" applyBorder="1"/>
    <xf numFmtId="43" fontId="5" fillId="3" borderId="7" xfId="1" applyFont="1" applyFill="1" applyBorder="1" applyAlignment="1">
      <alignment horizontal="center"/>
    </xf>
    <xf numFmtId="0" fontId="1" fillId="2" borderId="0" xfId="0" applyFont="1" applyFill="1" applyBorder="1" applyAlignment="1">
      <alignment horizontal="center"/>
    </xf>
    <xf numFmtId="43" fontId="0" fillId="2" borderId="0" xfId="1" applyFont="1" applyFill="1" applyBorder="1"/>
    <xf numFmtId="0" fontId="1" fillId="0" borderId="0" xfId="0" applyFont="1" applyFill="1" applyBorder="1" applyAlignment="1">
      <alignment horizontal="center"/>
    </xf>
    <xf numFmtId="10" fontId="0" fillId="0" borderId="0" xfId="3" applyNumberFormat="1" applyFont="1" applyFill="1" applyBorder="1"/>
    <xf numFmtId="0" fontId="1" fillId="0" borderId="0" xfId="0" applyFont="1" applyFill="1" applyBorder="1" applyAlignment="1">
      <alignment horizontal="center" wrapText="1"/>
    </xf>
    <xf numFmtId="44" fontId="0" fillId="0" borderId="0" xfId="2" applyFont="1" applyFill="1" applyBorder="1"/>
    <xf numFmtId="0" fontId="3" fillId="0" borderId="0" xfId="0" applyFont="1" applyFill="1" applyBorder="1" applyAlignment="1">
      <alignment horizontal="center"/>
    </xf>
    <xf numFmtId="43" fontId="5" fillId="0" borderId="0" xfId="1" applyFont="1" applyFill="1" applyBorder="1" applyAlignment="1">
      <alignment horizontal="center"/>
    </xf>
    <xf numFmtId="43" fontId="0" fillId="0" borderId="0" xfId="1" applyFont="1" applyFill="1" applyBorder="1"/>
    <xf numFmtId="44" fontId="0" fillId="2" borderId="0" xfId="2" applyFont="1" applyFill="1"/>
    <xf numFmtId="44" fontId="0" fillId="0" borderId="0" xfId="2" applyFont="1"/>
    <xf numFmtId="44" fontId="0" fillId="3" borderId="0" xfId="2" applyFont="1" applyFill="1" applyBorder="1" applyAlignment="1">
      <alignment vertical="center"/>
    </xf>
    <xf numFmtId="44" fontId="5" fillId="3" borderId="0" xfId="2" applyFont="1" applyFill="1" applyBorder="1" applyAlignment="1"/>
    <xf numFmtId="44" fontId="5" fillId="3" borderId="0" xfId="0" applyNumberFormat="1" applyFont="1" applyFill="1" applyBorder="1" applyAlignment="1">
      <alignment horizontal="center"/>
    </xf>
    <xf numFmtId="165" fontId="0" fillId="0" borderId="0" xfId="3" applyNumberFormat="1" applyFont="1"/>
    <xf numFmtId="10" fontId="0" fillId="0" borderId="0" xfId="3" applyNumberFormat="1" applyFont="1"/>
    <xf numFmtId="44" fontId="0" fillId="0" borderId="0" xfId="0" applyNumberFormat="1"/>
    <xf numFmtId="10" fontId="0" fillId="0" borderId="0" xfId="0" applyNumberFormat="1"/>
    <xf numFmtId="10" fontId="0" fillId="2" borderId="0" xfId="3" applyNumberFormat="1" applyFont="1" applyFill="1" applyBorder="1"/>
    <xf numFmtId="44" fontId="0" fillId="2" borderId="0" xfId="2" applyFont="1" applyFill="1" applyBorder="1"/>
    <xf numFmtId="10" fontId="0" fillId="3" borderId="0" xfId="3" applyNumberFormat="1" applyFont="1" applyFill="1" applyBorder="1" applyAlignment="1">
      <alignment vertical="center"/>
    </xf>
    <xf numFmtId="10" fontId="0" fillId="3" borderId="5" xfId="3" applyNumberFormat="1" applyFont="1" applyFill="1" applyBorder="1" applyAlignment="1">
      <alignment vertical="center"/>
    </xf>
    <xf numFmtId="164" fontId="0" fillId="2" borderId="0" xfId="0" applyNumberFormat="1" applyFill="1" applyBorder="1"/>
    <xf numFmtId="0" fontId="0" fillId="2" borderId="0" xfId="0" applyFill="1" applyBorder="1"/>
    <xf numFmtId="0" fontId="0" fillId="0" borderId="0" xfId="0" applyFill="1" applyBorder="1"/>
    <xf numFmtId="43" fontId="0" fillId="3" borderId="5" xfId="1" applyFont="1" applyFill="1" applyBorder="1"/>
    <xf numFmtId="0" fontId="1" fillId="2" borderId="1" xfId="0" applyFont="1" applyFill="1" applyBorder="1" applyAlignment="1">
      <alignment horizontal="center"/>
    </xf>
    <xf numFmtId="0" fontId="1" fillId="2" borderId="3" xfId="0" applyFont="1" applyFill="1" applyBorder="1" applyAlignment="1">
      <alignment horizontal="center"/>
    </xf>
    <xf numFmtId="9" fontId="0" fillId="3" borderId="5" xfId="3" applyFont="1" applyFill="1" applyBorder="1"/>
    <xf numFmtId="0" fontId="3" fillId="2" borderId="0" xfId="0" applyFont="1" applyFill="1" applyAlignment="1">
      <alignment horizontal="center"/>
    </xf>
    <xf numFmtId="0" fontId="3" fillId="2" borderId="0" xfId="0" applyFont="1" applyFill="1" applyAlignment="1">
      <alignment horizontal="right"/>
    </xf>
    <xf numFmtId="0" fontId="3" fillId="2" borderId="1" xfId="0" applyFont="1" applyFill="1" applyBorder="1" applyAlignment="1">
      <alignment horizontal="center" vertical="center"/>
    </xf>
    <xf numFmtId="10" fontId="3" fillId="2" borderId="2" xfId="3" applyNumberFormat="1" applyFont="1" applyFill="1" applyBorder="1" applyAlignment="1">
      <alignment horizontal="center" vertical="center" wrapText="1"/>
    </xf>
    <xf numFmtId="10" fontId="3" fillId="2" borderId="2" xfId="3" applyNumberFormat="1" applyFont="1" applyFill="1" applyBorder="1" applyAlignment="1">
      <alignment horizontal="center" wrapText="1"/>
    </xf>
    <xf numFmtId="10" fontId="3" fillId="2" borderId="2" xfId="3"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xf>
    <xf numFmtId="10" fontId="0" fillId="4" borderId="0" xfId="0" applyNumberFormat="1" applyFill="1" applyBorder="1"/>
    <xf numFmtId="10" fontId="0" fillId="4" borderId="0" xfId="3" applyNumberFormat="1" applyFont="1" applyFill="1" applyBorder="1"/>
    <xf numFmtId="10" fontId="0" fillId="4" borderId="5" xfId="3" applyNumberFormat="1" applyFont="1" applyFill="1" applyBorder="1"/>
    <xf numFmtId="10" fontId="0" fillId="4" borderId="8" xfId="0" applyNumberFormat="1" applyFill="1" applyBorder="1"/>
    <xf numFmtId="10" fontId="0" fillId="4" borderId="8" xfId="3" applyNumberFormat="1" applyFont="1" applyFill="1" applyBorder="1"/>
    <xf numFmtId="10" fontId="0" fillId="4" borderId="7" xfId="3" applyNumberFormat="1" applyFont="1" applyFill="1" applyBorder="1"/>
    <xf numFmtId="44" fontId="0" fillId="3" borderId="5" xfId="2" applyFont="1" applyFill="1" applyBorder="1" applyAlignment="1">
      <alignment vertical="center"/>
    </xf>
    <xf numFmtId="44" fontId="5" fillId="3" borderId="5" xfId="2" applyFont="1" applyFill="1" applyBorder="1" applyAlignment="1"/>
    <xf numFmtId="0" fontId="1" fillId="2" borderId="6" xfId="0" applyFont="1" applyFill="1" applyBorder="1" applyAlignment="1">
      <alignment horizontal="center"/>
    </xf>
    <xf numFmtId="44" fontId="0" fillId="3" borderId="8" xfId="2" applyFont="1" applyFill="1" applyBorder="1"/>
    <xf numFmtId="44" fontId="0" fillId="3" borderId="7" xfId="2" applyFont="1" applyFill="1" applyBorder="1"/>
    <xf numFmtId="44" fontId="5" fillId="3" borderId="5" xfId="0" applyNumberFormat="1" applyFont="1" applyFill="1" applyBorder="1" applyAlignment="1">
      <alignment horizontal="center"/>
    </xf>
    <xf numFmtId="0" fontId="1" fillId="2" borderId="6" xfId="0" applyFont="1" applyFill="1" applyBorder="1" applyAlignment="1">
      <alignment horizontal="center" wrapText="1"/>
    </xf>
    <xf numFmtId="44" fontId="3" fillId="2" borderId="1" xfId="0" applyNumberFormat="1" applyFont="1" applyFill="1" applyBorder="1" applyAlignment="1">
      <alignment horizontal="center"/>
    </xf>
    <xf numFmtId="10" fontId="3" fillId="2" borderId="2" xfId="3" applyNumberFormat="1" applyFont="1" applyFill="1" applyBorder="1" applyAlignment="1">
      <alignment horizontal="center"/>
    </xf>
    <xf numFmtId="10" fontId="3" fillId="2" borderId="3" xfId="3" applyNumberFormat="1" applyFont="1" applyFill="1" applyBorder="1" applyAlignment="1">
      <alignment horizontal="center"/>
    </xf>
    <xf numFmtId="165" fontId="3" fillId="2" borderId="4" xfId="3" applyNumberFormat="1" applyFont="1" applyFill="1" applyBorder="1" applyAlignment="1">
      <alignment horizontal="center"/>
    </xf>
    <xf numFmtId="44" fontId="0" fillId="4" borderId="0" xfId="2" applyFont="1" applyFill="1" applyBorder="1"/>
    <xf numFmtId="44" fontId="0" fillId="4" borderId="5" xfId="2" applyFont="1" applyFill="1" applyBorder="1"/>
    <xf numFmtId="44" fontId="6" fillId="4" borderId="0" xfId="2" applyFont="1" applyFill="1" applyBorder="1"/>
    <xf numFmtId="165" fontId="3" fillId="2" borderId="6" xfId="3" applyNumberFormat="1" applyFont="1" applyFill="1" applyBorder="1" applyAlignment="1">
      <alignment horizontal="center"/>
    </xf>
    <xf numFmtId="44" fontId="0" fillId="4" borderId="8" xfId="2" applyFont="1" applyFill="1" applyBorder="1"/>
    <xf numFmtId="44" fontId="0" fillId="4" borderId="7" xfId="2" applyFont="1" applyFill="1" applyBorder="1"/>
    <xf numFmtId="164" fontId="0" fillId="3" borderId="0" xfId="0" applyNumberFormat="1" applyFill="1" applyBorder="1"/>
    <xf numFmtId="164" fontId="0" fillId="3" borderId="5" xfId="0" applyNumberFormat="1" applyFill="1" applyBorder="1"/>
    <xf numFmtId="164" fontId="0" fillId="3" borderId="8" xfId="0" applyNumberFormat="1" applyFill="1" applyBorder="1"/>
    <xf numFmtId="164" fontId="0" fillId="3" borderId="7" xfId="0" applyNumberFormat="1" applyFill="1" applyBorder="1"/>
    <xf numFmtId="164" fontId="0" fillId="3" borderId="2" xfId="0" applyNumberFormat="1" applyFill="1" applyBorder="1"/>
    <xf numFmtId="164" fontId="0" fillId="3" borderId="3" xfId="0" applyNumberFormat="1" applyFill="1" applyBorder="1"/>
    <xf numFmtId="44" fontId="0" fillId="3" borderId="0" xfId="0" applyNumberFormat="1" applyFill="1" applyBorder="1"/>
    <xf numFmtId="164" fontId="0" fillId="3" borderId="0" xfId="0" applyNumberFormat="1" applyFill="1" applyBorder="1" applyAlignment="1">
      <alignment vertical="center"/>
    </xf>
    <xf numFmtId="164" fontId="0" fillId="3" borderId="5" xfId="0" applyNumberFormat="1" applyFill="1" applyBorder="1" applyAlignment="1">
      <alignment vertical="center"/>
    </xf>
    <xf numFmtId="0" fontId="0" fillId="3" borderId="2" xfId="0" applyFill="1" applyBorder="1" applyAlignment="1">
      <alignment horizontal="center"/>
    </xf>
    <xf numFmtId="10" fontId="0" fillId="3" borderId="2" xfId="3" applyNumberFormat="1" applyFont="1" applyFill="1" applyBorder="1"/>
    <xf numFmtId="10" fontId="0" fillId="3" borderId="3" xfId="3" applyNumberFormat="1" applyFont="1" applyFill="1" applyBorder="1"/>
    <xf numFmtId="10" fontId="0" fillId="3" borderId="8" xfId="3" applyNumberFormat="1" applyFont="1" applyFill="1" applyBorder="1"/>
    <xf numFmtId="10" fontId="0" fillId="3" borderId="7" xfId="3" applyNumberFormat="1" applyFont="1" applyFill="1" applyBorder="1"/>
    <xf numFmtId="0" fontId="7" fillId="2" borderId="0" xfId="0" applyFont="1" applyFill="1" applyAlignment="1">
      <alignment horizontal="center"/>
    </xf>
    <xf numFmtId="44" fontId="0" fillId="3" borderId="0" xfId="2" applyFont="1" applyFill="1" applyBorder="1" applyAlignment="1">
      <alignment horizontal="center"/>
    </xf>
    <xf numFmtId="0" fontId="6" fillId="0" borderId="0" xfId="0" applyFont="1" applyAlignment="1"/>
    <xf numFmtId="0" fontId="6" fillId="2" borderId="0" xfId="0" applyFont="1" applyFill="1" applyAlignment="1"/>
    <xf numFmtId="0" fontId="3" fillId="2" borderId="9" xfId="0" applyFont="1" applyFill="1" applyBorder="1" applyAlignment="1"/>
    <xf numFmtId="0" fontId="0" fillId="3" borderId="10" xfId="0" applyFill="1" applyBorder="1" applyAlignment="1">
      <alignment wrapText="1"/>
    </xf>
    <xf numFmtId="0" fontId="3" fillId="2" borderId="9" xfId="0" applyFont="1" applyFill="1" applyBorder="1"/>
    <xf numFmtId="0" fontId="0" fillId="3" borderId="11" xfId="0" applyFill="1" applyBorder="1" applyAlignment="1">
      <alignment wrapText="1"/>
    </xf>
    <xf numFmtId="0" fontId="3" fillId="2" borderId="9" xfId="0" applyFont="1" applyFill="1" applyBorder="1" applyAlignment="1">
      <alignment wrapText="1"/>
    </xf>
    <xf numFmtId="0" fontId="1" fillId="2" borderId="1" xfId="0" applyFont="1" applyFill="1" applyBorder="1" applyAlignment="1">
      <alignment horizontal="center"/>
    </xf>
    <xf numFmtId="0" fontId="1" fillId="2" borderId="3" xfId="0" applyFont="1" applyFill="1" applyBorder="1" applyAlignment="1">
      <alignment horizontal="center"/>
    </xf>
    <xf numFmtId="0" fontId="4" fillId="2" borderId="0" xfId="0" applyFont="1" applyFill="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485D4-C9AB-4274-8A18-E60EE4C1D290}">
  <dimension ref="A1:L26"/>
  <sheetViews>
    <sheetView tabSelected="1" workbookViewId="0">
      <selection activeCell="F14" sqref="F14"/>
    </sheetView>
  </sheetViews>
  <sheetFormatPr defaultRowHeight="15" x14ac:dyDescent="0.25"/>
  <cols>
    <col min="1" max="1" width="34.28515625" bestFit="1" customWidth="1"/>
    <col min="2" max="2" width="11.85546875" bestFit="1" customWidth="1"/>
    <col min="3" max="3" width="7.85546875" bestFit="1" customWidth="1"/>
    <col min="4" max="6" width="11.85546875" bestFit="1" customWidth="1"/>
    <col min="7" max="11" width="11.85546875" customWidth="1"/>
    <col min="12" max="12" width="3.140625" customWidth="1"/>
  </cols>
  <sheetData>
    <row r="1" spans="1:12" ht="15.75" thickBot="1" x14ac:dyDescent="0.3">
      <c r="A1" s="53" t="s">
        <v>64</v>
      </c>
      <c r="B1" s="52" t="s">
        <v>62</v>
      </c>
      <c r="C1" s="2"/>
      <c r="D1" s="2"/>
      <c r="E1" s="2"/>
      <c r="F1" s="2"/>
      <c r="G1" s="2"/>
      <c r="H1" s="2"/>
      <c r="I1" s="2"/>
      <c r="J1" s="2"/>
      <c r="K1" s="2"/>
      <c r="L1" s="2"/>
    </row>
    <row r="2" spans="1:12" x14ac:dyDescent="0.25">
      <c r="A2" s="13" t="s">
        <v>30</v>
      </c>
      <c r="B2" s="14">
        <v>2026</v>
      </c>
      <c r="C2" s="14">
        <v>2027</v>
      </c>
      <c r="D2" s="14">
        <v>2028</v>
      </c>
      <c r="E2" s="14">
        <v>2029</v>
      </c>
      <c r="F2" s="14">
        <v>2030</v>
      </c>
      <c r="G2" s="14">
        <v>2031</v>
      </c>
      <c r="H2" s="14">
        <v>2032</v>
      </c>
      <c r="I2" s="14">
        <v>2033</v>
      </c>
      <c r="J2" s="14">
        <v>2034</v>
      </c>
      <c r="K2" s="6">
        <v>2035</v>
      </c>
      <c r="L2" s="2"/>
    </row>
    <row r="3" spans="1:12" x14ac:dyDescent="0.25">
      <c r="A3" s="7" t="s">
        <v>24</v>
      </c>
      <c r="B3" s="19">
        <f>INDEX(Scenarios!B3:B5, MATCH($B$1, Scenarios!A3:A5, 0))</f>
        <v>0.09</v>
      </c>
      <c r="C3" s="19">
        <f>B3-0.01</f>
        <v>0.08</v>
      </c>
      <c r="D3" s="19">
        <f>C3-0.01</f>
        <v>7.0000000000000007E-2</v>
      </c>
      <c r="E3" s="19">
        <f>D3-0.02</f>
        <v>0.05</v>
      </c>
      <c r="F3" s="19">
        <f>E3-0.02</f>
        <v>3.0000000000000002E-2</v>
      </c>
      <c r="G3" s="19">
        <f>F3</f>
        <v>3.0000000000000002E-2</v>
      </c>
      <c r="H3" s="19">
        <f>G3</f>
        <v>3.0000000000000002E-2</v>
      </c>
      <c r="I3" s="19">
        <f>H3-0.01</f>
        <v>2.0000000000000004E-2</v>
      </c>
      <c r="J3" s="19">
        <f>I3</f>
        <v>2.0000000000000004E-2</v>
      </c>
      <c r="K3" s="19">
        <f>J3</f>
        <v>2.0000000000000004E-2</v>
      </c>
      <c r="L3" s="2"/>
    </row>
    <row r="4" spans="1:12" x14ac:dyDescent="0.25">
      <c r="A4" s="7" t="s">
        <v>25</v>
      </c>
      <c r="B4" s="19">
        <f>INDEX(Scenarios!C3:C5, MATCH($B$1, Scenarios!A3:A5, 0))</f>
        <v>0.21</v>
      </c>
      <c r="C4" s="19">
        <f>B4+0.01</f>
        <v>0.22</v>
      </c>
      <c r="D4" s="19">
        <f>C4+0.01</f>
        <v>0.23</v>
      </c>
      <c r="E4" s="19">
        <f>D4</f>
        <v>0.23</v>
      </c>
      <c r="F4" s="19">
        <f>E4</f>
        <v>0.23</v>
      </c>
      <c r="G4" s="19">
        <f>F4+0.01</f>
        <v>0.24000000000000002</v>
      </c>
      <c r="H4" s="19">
        <f>G4</f>
        <v>0.24000000000000002</v>
      </c>
      <c r="I4" s="19">
        <f t="shared" ref="I4:J4" si="0">H4</f>
        <v>0.24000000000000002</v>
      </c>
      <c r="J4" s="19">
        <f t="shared" si="0"/>
        <v>0.24000000000000002</v>
      </c>
      <c r="K4" s="20">
        <f>J4+0.01</f>
        <v>0.25</v>
      </c>
      <c r="L4" s="2"/>
    </row>
    <row r="5" spans="1:12" x14ac:dyDescent="0.25">
      <c r="A5" s="7" t="s">
        <v>26</v>
      </c>
      <c r="B5" s="19">
        <v>0.13</v>
      </c>
      <c r="C5" s="19">
        <v>0.13</v>
      </c>
      <c r="D5" s="19">
        <f>C5-0.005</f>
        <v>0.125</v>
      </c>
      <c r="E5" s="19">
        <f>D5-0.005</f>
        <v>0.12</v>
      </c>
      <c r="F5" s="19">
        <f>E5</f>
        <v>0.12</v>
      </c>
      <c r="G5" s="19">
        <f>F5</f>
        <v>0.12</v>
      </c>
      <c r="H5" s="19">
        <f>G5-0.005</f>
        <v>0.11499999999999999</v>
      </c>
      <c r="I5" s="19">
        <f>H5</f>
        <v>0.11499999999999999</v>
      </c>
      <c r="J5" s="19">
        <f>I5-0.005</f>
        <v>0.10999999999999999</v>
      </c>
      <c r="K5" s="19">
        <f>J5</f>
        <v>0.10999999999999999</v>
      </c>
      <c r="L5" s="2"/>
    </row>
    <row r="6" spans="1:12" x14ac:dyDescent="0.25">
      <c r="A6" s="7" t="s">
        <v>27</v>
      </c>
      <c r="B6" s="19">
        <f>INDEX(Scenarios!D3:D5, MATCH($B$1, Scenarios!A3:A5, 0))</f>
        <v>0.13</v>
      </c>
      <c r="C6" s="19">
        <f>B6-0.005</f>
        <v>0.125</v>
      </c>
      <c r="D6" s="19">
        <f t="shared" ref="D6:K6" si="1">C6-0.005</f>
        <v>0.12</v>
      </c>
      <c r="E6" s="19">
        <f t="shared" si="1"/>
        <v>0.11499999999999999</v>
      </c>
      <c r="F6" s="19">
        <f t="shared" si="1"/>
        <v>0.10999999999999999</v>
      </c>
      <c r="G6" s="19">
        <f t="shared" si="1"/>
        <v>0.10499999999999998</v>
      </c>
      <c r="H6" s="19">
        <f t="shared" si="1"/>
        <v>9.9999999999999978E-2</v>
      </c>
      <c r="I6" s="19">
        <f t="shared" si="1"/>
        <v>9.4999999999999973E-2</v>
      </c>
      <c r="J6" s="19">
        <f t="shared" si="1"/>
        <v>8.9999999999999969E-2</v>
      </c>
      <c r="K6" s="19">
        <f t="shared" si="1"/>
        <v>8.4999999999999964E-2</v>
      </c>
      <c r="L6" s="2"/>
    </row>
    <row r="7" spans="1:12" x14ac:dyDescent="0.25">
      <c r="A7" s="7" t="s">
        <v>28</v>
      </c>
      <c r="B7" s="19">
        <v>0.24</v>
      </c>
      <c r="C7" s="19">
        <v>0.24</v>
      </c>
      <c r="D7" s="19">
        <v>0.24</v>
      </c>
      <c r="E7" s="19">
        <v>0.24</v>
      </c>
      <c r="F7" s="19">
        <v>0.24</v>
      </c>
      <c r="G7" s="19">
        <v>0.24</v>
      </c>
      <c r="H7" s="19">
        <v>0.24</v>
      </c>
      <c r="I7" s="19">
        <v>0.24</v>
      </c>
      <c r="J7" s="19">
        <v>0.24</v>
      </c>
      <c r="K7" s="19">
        <v>0.24</v>
      </c>
      <c r="L7" s="2"/>
    </row>
    <row r="8" spans="1:12" ht="30.75" thickBot="1" x14ac:dyDescent="0.3">
      <c r="A8" s="15" t="s">
        <v>29</v>
      </c>
      <c r="B8" s="43">
        <v>0.06</v>
      </c>
      <c r="C8" s="43">
        <v>0.06</v>
      </c>
      <c r="D8" s="43">
        <v>0.06</v>
      </c>
      <c r="E8" s="43">
        <v>0.06</v>
      </c>
      <c r="F8" s="43">
        <v>0.06</v>
      </c>
      <c r="G8" s="43">
        <v>0.06</v>
      </c>
      <c r="H8" s="43">
        <v>0.06</v>
      </c>
      <c r="I8" s="43">
        <v>0.06</v>
      </c>
      <c r="J8" s="43">
        <v>0.06</v>
      </c>
      <c r="K8" s="44">
        <v>0.06</v>
      </c>
      <c r="L8" s="2"/>
    </row>
    <row r="9" spans="1:12" x14ac:dyDescent="0.25">
      <c r="A9" s="107" t="s">
        <v>31</v>
      </c>
      <c r="B9" s="108"/>
      <c r="C9" s="45"/>
      <c r="D9" s="45"/>
      <c r="E9" s="45"/>
      <c r="F9" s="45"/>
      <c r="G9" s="45"/>
      <c r="H9" s="45"/>
      <c r="I9" s="45"/>
      <c r="J9" s="45"/>
      <c r="K9" s="45"/>
      <c r="L9" s="46"/>
    </row>
    <row r="10" spans="1:12" x14ac:dyDescent="0.25">
      <c r="A10" s="7" t="s">
        <v>32</v>
      </c>
      <c r="B10" s="20">
        <v>0.03</v>
      </c>
      <c r="C10" s="41"/>
      <c r="D10" s="26"/>
      <c r="E10" s="26"/>
      <c r="F10" s="26"/>
      <c r="G10" s="26"/>
      <c r="H10" s="26"/>
      <c r="I10" s="26"/>
      <c r="J10" s="26"/>
      <c r="K10" s="26"/>
      <c r="L10" s="47"/>
    </row>
    <row r="11" spans="1:12" x14ac:dyDescent="0.25">
      <c r="A11" s="7" t="s">
        <v>33</v>
      </c>
      <c r="B11" s="20">
        <v>0.05</v>
      </c>
      <c r="C11" s="41"/>
      <c r="D11" s="26"/>
      <c r="E11" s="26"/>
      <c r="F11" s="26"/>
      <c r="G11" s="26"/>
      <c r="H11" s="26"/>
      <c r="I11" s="26"/>
      <c r="J11" s="26"/>
      <c r="K11" s="26"/>
      <c r="L11" s="47"/>
    </row>
    <row r="12" spans="1:12" x14ac:dyDescent="0.25">
      <c r="A12" s="7" t="s">
        <v>34</v>
      </c>
      <c r="B12" s="48">
        <v>1.3</v>
      </c>
      <c r="C12" s="24"/>
      <c r="D12" s="31"/>
      <c r="E12" s="31"/>
      <c r="F12" s="31"/>
      <c r="G12" s="31"/>
      <c r="H12" s="31"/>
      <c r="I12" s="31"/>
      <c r="J12" s="31"/>
      <c r="K12" s="31"/>
      <c r="L12" s="47"/>
    </row>
    <row r="13" spans="1:12" x14ac:dyDescent="0.25">
      <c r="A13" s="7" t="s">
        <v>38</v>
      </c>
      <c r="B13" s="20">
        <f>B10+B12*B11</f>
        <v>9.5000000000000001E-2</v>
      </c>
      <c r="C13" s="41"/>
      <c r="D13" s="26"/>
      <c r="E13" s="26"/>
      <c r="F13" s="26"/>
      <c r="G13" s="26"/>
      <c r="H13" s="26"/>
      <c r="I13" s="26"/>
      <c r="J13" s="26"/>
      <c r="K13" s="26"/>
      <c r="L13" s="47"/>
    </row>
    <row r="14" spans="1:12" x14ac:dyDescent="0.25">
      <c r="A14" s="7" t="s">
        <v>39</v>
      </c>
      <c r="B14" s="20">
        <v>0.04</v>
      </c>
      <c r="C14" s="41"/>
      <c r="D14" s="26"/>
      <c r="E14" s="26"/>
      <c r="F14" s="26"/>
      <c r="G14" s="26"/>
      <c r="H14" s="26"/>
      <c r="I14" s="26"/>
      <c r="J14" s="26"/>
      <c r="K14" s="26"/>
      <c r="L14" s="47"/>
    </row>
    <row r="15" spans="1:12" x14ac:dyDescent="0.25">
      <c r="A15" s="7" t="s">
        <v>41</v>
      </c>
      <c r="B15" s="20">
        <v>0.25</v>
      </c>
      <c r="C15" s="41"/>
      <c r="D15" s="26"/>
      <c r="E15" s="26"/>
      <c r="F15" s="26"/>
      <c r="G15" s="26"/>
      <c r="H15" s="26"/>
      <c r="I15" s="26"/>
      <c r="J15" s="26"/>
      <c r="K15" s="26"/>
      <c r="L15" s="47"/>
    </row>
    <row r="16" spans="1:12" x14ac:dyDescent="0.25">
      <c r="A16" s="7" t="s">
        <v>37</v>
      </c>
      <c r="B16" s="20">
        <f>INDEX(Scenarios!E3:E5, MATCH($B$1, Scenarios!A3:A5, 0))</f>
        <v>7.8850000000000003E-2</v>
      </c>
      <c r="C16" s="41"/>
      <c r="D16" s="26"/>
      <c r="E16" s="26"/>
      <c r="F16" s="26"/>
      <c r="G16" s="26"/>
      <c r="H16" s="26"/>
      <c r="I16" s="26"/>
      <c r="J16" s="26"/>
      <c r="K16" s="26"/>
      <c r="L16" s="47"/>
    </row>
    <row r="17" spans="1:12" x14ac:dyDescent="0.25">
      <c r="A17" s="15" t="s">
        <v>35</v>
      </c>
      <c r="B17" s="20">
        <f>INDEX(Scenarios!F3:F5, MATCH($B$1, Scenarios!A3:A5, 0))</f>
        <v>2.5000000000000001E-2</v>
      </c>
      <c r="C17" s="41"/>
      <c r="D17" s="26"/>
      <c r="E17" s="26"/>
      <c r="F17" s="26"/>
      <c r="G17" s="26"/>
      <c r="H17" s="26"/>
      <c r="I17" s="26"/>
      <c r="J17" s="26"/>
      <c r="K17" s="26"/>
      <c r="L17" s="47"/>
    </row>
    <row r="18" spans="1:12" x14ac:dyDescent="0.25">
      <c r="A18" s="7" t="s">
        <v>36</v>
      </c>
      <c r="B18" s="21">
        <f>'Historical Fin'!G13</f>
        <v>-4727</v>
      </c>
      <c r="C18" s="42"/>
      <c r="D18" s="28"/>
      <c r="E18" s="28"/>
      <c r="F18" s="28"/>
      <c r="G18" s="28"/>
      <c r="H18" s="28"/>
      <c r="I18" s="28"/>
      <c r="J18" s="28"/>
      <c r="K18" s="28"/>
      <c r="L18" s="47"/>
    </row>
    <row r="19" spans="1:12" ht="15.75" thickBot="1" x14ac:dyDescent="0.3">
      <c r="A19" s="16" t="s">
        <v>40</v>
      </c>
      <c r="B19" s="22">
        <v>1306</v>
      </c>
      <c r="C19" s="24"/>
      <c r="D19" s="30"/>
      <c r="E19" s="31"/>
      <c r="F19" s="30"/>
      <c r="G19" s="30"/>
      <c r="H19" s="30"/>
      <c r="I19" s="30"/>
      <c r="J19" s="30"/>
      <c r="K19" s="30"/>
      <c r="L19" s="47"/>
    </row>
    <row r="20" spans="1:12" x14ac:dyDescent="0.25">
      <c r="A20" s="1"/>
      <c r="B20" s="4"/>
      <c r="C20" s="12"/>
      <c r="D20" s="11"/>
      <c r="E20" s="11"/>
      <c r="F20" s="11"/>
      <c r="G20" s="11"/>
      <c r="H20" s="11"/>
      <c r="I20" s="11"/>
      <c r="J20" s="11"/>
      <c r="K20" s="11"/>
      <c r="L20" s="8"/>
    </row>
    <row r="21" spans="1:12" x14ac:dyDescent="0.25">
      <c r="A21" s="9"/>
      <c r="B21" s="11"/>
      <c r="C21" s="11"/>
      <c r="D21" s="11"/>
      <c r="E21" s="11"/>
      <c r="F21" s="11"/>
      <c r="G21" s="11"/>
      <c r="H21" s="11"/>
      <c r="I21" s="11"/>
      <c r="J21" s="11"/>
      <c r="K21" s="11"/>
      <c r="L21" s="8"/>
    </row>
    <row r="22" spans="1:12" x14ac:dyDescent="0.25">
      <c r="A22" s="9"/>
      <c r="B22" s="11"/>
      <c r="C22" s="11"/>
      <c r="D22" s="11"/>
      <c r="E22" s="11"/>
      <c r="F22" s="11"/>
      <c r="G22" s="11"/>
      <c r="H22" s="11"/>
      <c r="I22" s="11"/>
      <c r="J22" s="11"/>
      <c r="K22" s="11"/>
      <c r="L22" s="8"/>
    </row>
    <row r="23" spans="1:12" x14ac:dyDescent="0.25">
      <c r="A23" s="9"/>
      <c r="B23" s="11"/>
      <c r="C23" s="11"/>
      <c r="D23" s="11"/>
      <c r="E23" s="11"/>
      <c r="F23" s="11"/>
      <c r="G23" s="11"/>
      <c r="H23" s="11"/>
      <c r="I23" s="11"/>
      <c r="J23" s="11"/>
      <c r="K23" s="11"/>
      <c r="L23" s="8"/>
    </row>
    <row r="24" spans="1:12" x14ac:dyDescent="0.25">
      <c r="A24" s="9"/>
      <c r="B24" s="11"/>
      <c r="C24" s="11"/>
      <c r="D24" s="11"/>
      <c r="E24" s="11"/>
      <c r="F24" s="11"/>
      <c r="G24" s="11"/>
      <c r="H24" s="11"/>
      <c r="I24" s="11"/>
      <c r="J24" s="11"/>
      <c r="K24" s="11"/>
      <c r="L24" s="8"/>
    </row>
    <row r="25" spans="1:12" x14ac:dyDescent="0.25">
      <c r="A25" s="9"/>
      <c r="B25" s="11"/>
      <c r="C25" s="11"/>
      <c r="D25" s="11"/>
      <c r="E25" s="11"/>
      <c r="F25" s="11"/>
      <c r="G25" s="11"/>
      <c r="H25" s="11"/>
      <c r="I25" s="11"/>
      <c r="J25" s="11"/>
      <c r="K25" s="11"/>
      <c r="L25" s="8"/>
    </row>
    <row r="26" spans="1:12" x14ac:dyDescent="0.25">
      <c r="A26" s="8"/>
      <c r="B26" s="8"/>
      <c r="C26" s="8"/>
      <c r="D26" s="8"/>
      <c r="E26" s="8"/>
      <c r="F26" s="8"/>
      <c r="G26" s="8"/>
      <c r="H26" s="8"/>
      <c r="I26" s="8"/>
      <c r="J26" s="8"/>
      <c r="K26" s="8"/>
      <c r="L26" s="8"/>
    </row>
  </sheetData>
  <mergeCells count="1">
    <mergeCell ref="A9:B9"/>
  </mergeCells>
  <dataValidations count="1">
    <dataValidation type="list" allowBlank="1" showInputMessage="1" showErrorMessage="1" sqref="B1" xr:uid="{4EE7464C-63FE-469E-A9B1-CBE3F3ED1614}">
      <formula1>"Base,Bull,Bear"</formula1>
    </dataValidation>
  </dataValidations>
  <pageMargins left="0.7" right="0.7" top="0.75" bottom="0.75" header="0.3" footer="0.3"/>
  <pageSetup paperSize="9" orientation="portrait" horizontalDpi="300" verticalDpi="300" r:id="rId1"/>
  <ignoredErrors>
    <ignoredError sqref="I3 G4 K4 I5:J5 H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C10B8-BB3F-4094-A536-F6F7E4056DB3}">
  <dimension ref="A1:H25"/>
  <sheetViews>
    <sheetView topLeftCell="A8" workbookViewId="0">
      <selection activeCell="A19" sqref="A19:G24"/>
    </sheetView>
  </sheetViews>
  <sheetFormatPr defaultRowHeight="15" x14ac:dyDescent="0.25"/>
  <cols>
    <col min="1" max="1" width="33.42578125" bestFit="1" customWidth="1"/>
    <col min="2" max="5" width="11.85546875" bestFit="1" customWidth="1"/>
    <col min="6" max="6" width="11.85546875" customWidth="1"/>
    <col min="7" max="7" width="11.85546875" bestFit="1" customWidth="1"/>
    <col min="8" max="8" width="2.85546875" customWidth="1"/>
  </cols>
  <sheetData>
    <row r="1" spans="1:8" ht="15.75" thickBot="1" x14ac:dyDescent="0.3">
      <c r="A1" s="2"/>
      <c r="B1" s="2"/>
      <c r="C1" s="2"/>
      <c r="D1" s="2"/>
      <c r="E1" s="2"/>
      <c r="F1" s="2"/>
      <c r="G1" s="2"/>
      <c r="H1" s="2"/>
    </row>
    <row r="2" spans="1:8" x14ac:dyDescent="0.25">
      <c r="A2" s="49" t="s">
        <v>13</v>
      </c>
      <c r="B2" s="14">
        <v>2020</v>
      </c>
      <c r="C2" s="14">
        <v>2021</v>
      </c>
      <c r="D2" s="14">
        <v>2022</v>
      </c>
      <c r="E2" s="14">
        <v>2023</v>
      </c>
      <c r="F2" s="14">
        <v>2024</v>
      </c>
      <c r="G2" s="50">
        <v>2025</v>
      </c>
      <c r="H2" s="2"/>
    </row>
    <row r="3" spans="1:8" x14ac:dyDescent="0.25">
      <c r="A3" s="7" t="s">
        <v>1</v>
      </c>
      <c r="B3" s="84">
        <v>8567</v>
      </c>
      <c r="C3" s="84">
        <v>11060</v>
      </c>
      <c r="D3" s="84">
        <v>14218</v>
      </c>
      <c r="E3" s="84">
        <v>16309</v>
      </c>
      <c r="F3" s="84">
        <v>14955</v>
      </c>
      <c r="G3" s="85">
        <v>14662</v>
      </c>
      <c r="H3" s="2"/>
    </row>
    <row r="4" spans="1:8" x14ac:dyDescent="0.25">
      <c r="A4" s="7" t="s">
        <v>2</v>
      </c>
      <c r="B4" s="84">
        <v>2776</v>
      </c>
      <c r="C4" s="84">
        <v>4260</v>
      </c>
      <c r="D4" s="84">
        <v>6131</v>
      </c>
      <c r="E4" s="84">
        <v>7413</v>
      </c>
      <c r="F4" s="84">
        <v>6069</v>
      </c>
      <c r="G4" s="85">
        <v>5753</v>
      </c>
      <c r="H4" s="2"/>
    </row>
    <row r="5" spans="1:8" x14ac:dyDescent="0.25">
      <c r="A5" s="7" t="s">
        <v>3</v>
      </c>
      <c r="B5" s="84">
        <v>581</v>
      </c>
      <c r="C5" s="84">
        <v>1470</v>
      </c>
      <c r="D5" s="84">
        <v>2845</v>
      </c>
      <c r="E5" s="84">
        <v>3948</v>
      </c>
      <c r="F5" s="84">
        <v>2190</v>
      </c>
      <c r="G5" s="85">
        <v>1515</v>
      </c>
      <c r="H5" s="2"/>
    </row>
    <row r="6" spans="1:8" x14ac:dyDescent="0.25">
      <c r="A6" s="7" t="s">
        <v>14</v>
      </c>
      <c r="B6" s="84">
        <v>525</v>
      </c>
      <c r="C6" s="84">
        <v>1469</v>
      </c>
      <c r="D6" s="84">
        <v>2854</v>
      </c>
      <c r="E6" s="84">
        <v>4019</v>
      </c>
      <c r="F6" s="84">
        <v>2232</v>
      </c>
      <c r="G6" s="85">
        <v>1515</v>
      </c>
      <c r="H6" s="2"/>
    </row>
    <row r="7" spans="1:8" x14ac:dyDescent="0.25">
      <c r="A7" s="7" t="s">
        <v>4</v>
      </c>
      <c r="B7" s="84">
        <v>1785</v>
      </c>
      <c r="C7" s="84">
        <v>982</v>
      </c>
      <c r="D7" s="84">
        <v>4518</v>
      </c>
      <c r="E7" s="84">
        <v>5773</v>
      </c>
      <c r="F7" s="84">
        <v>4097</v>
      </c>
      <c r="G7" s="85">
        <f>G6+1917</f>
        <v>3432</v>
      </c>
      <c r="H7" s="2"/>
    </row>
    <row r="8" spans="1:8" x14ac:dyDescent="0.25">
      <c r="A8" s="7" t="s">
        <v>23</v>
      </c>
      <c r="B8" s="84">
        <v>-52</v>
      </c>
      <c r="C8" s="84">
        <v>-144</v>
      </c>
      <c r="D8" s="84">
        <v>-537</v>
      </c>
      <c r="E8" s="84">
        <v>-782</v>
      </c>
      <c r="F8" s="84">
        <v>-378</v>
      </c>
      <c r="G8" s="85">
        <v>-370</v>
      </c>
      <c r="H8" s="2"/>
    </row>
    <row r="9" spans="1:8" ht="15.75" thickBot="1" x14ac:dyDescent="0.3">
      <c r="A9" s="69" t="s">
        <v>5</v>
      </c>
      <c r="B9" s="86">
        <v>372</v>
      </c>
      <c r="C9" s="86">
        <v>1175</v>
      </c>
      <c r="D9" s="86">
        <v>2186</v>
      </c>
      <c r="E9" s="86">
        <v>3139</v>
      </c>
      <c r="F9" s="86">
        <v>1780</v>
      </c>
      <c r="G9" s="87">
        <v>1005</v>
      </c>
      <c r="H9" s="2"/>
    </row>
    <row r="10" spans="1:8" ht="15.75" thickBot="1" x14ac:dyDescent="0.3">
      <c r="A10" s="1"/>
      <c r="B10" s="3"/>
      <c r="C10" s="3"/>
      <c r="D10" s="3"/>
      <c r="E10" s="3"/>
      <c r="F10" s="3"/>
      <c r="G10" s="3"/>
      <c r="H10" s="2"/>
    </row>
    <row r="11" spans="1:8" x14ac:dyDescent="0.25">
      <c r="A11" s="49" t="s">
        <v>6</v>
      </c>
      <c r="B11" s="88">
        <v>21999</v>
      </c>
      <c r="C11" s="88">
        <v>23334</v>
      </c>
      <c r="D11" s="88">
        <v>26912</v>
      </c>
      <c r="E11" s="88">
        <v>28439</v>
      </c>
      <c r="F11" s="88">
        <v>28639</v>
      </c>
      <c r="G11" s="89">
        <v>30470</v>
      </c>
      <c r="H11" s="2"/>
    </row>
    <row r="12" spans="1:8" x14ac:dyDescent="0.25">
      <c r="A12" s="7" t="s">
        <v>7</v>
      </c>
      <c r="B12" s="84">
        <v>10219</v>
      </c>
      <c r="C12" s="84">
        <v>11401</v>
      </c>
      <c r="D12" s="84">
        <v>14944</v>
      </c>
      <c r="E12" s="84">
        <v>17044</v>
      </c>
      <c r="F12" s="84">
        <v>17219</v>
      </c>
      <c r="G12" s="85">
        <v>17051</v>
      </c>
      <c r="H12" s="2"/>
    </row>
    <row r="13" spans="1:8" x14ac:dyDescent="0.25">
      <c r="A13" s="7" t="s">
        <v>8</v>
      </c>
      <c r="B13" s="90">
        <v>-3806</v>
      </c>
      <c r="C13" s="90">
        <v>-2663</v>
      </c>
      <c r="D13" s="90">
        <v>-1945</v>
      </c>
      <c r="E13" s="90">
        <v>-1143</v>
      </c>
      <c r="F13" s="90">
        <v>-2610</v>
      </c>
      <c r="G13" s="85">
        <v>-4727</v>
      </c>
      <c r="H13" s="2"/>
    </row>
    <row r="14" spans="1:8" x14ac:dyDescent="0.25">
      <c r="A14" s="7" t="s">
        <v>9</v>
      </c>
      <c r="B14" s="84">
        <v>7033</v>
      </c>
      <c r="C14" s="84">
        <v>6585</v>
      </c>
      <c r="D14" s="84">
        <v>5662</v>
      </c>
      <c r="E14" s="84">
        <v>4733</v>
      </c>
      <c r="F14" s="84">
        <v>4811</v>
      </c>
      <c r="G14" s="85">
        <v>6829</v>
      </c>
      <c r="H14" s="2"/>
    </row>
    <row r="15" spans="1:8" x14ac:dyDescent="0.25">
      <c r="A15" s="7" t="s">
        <v>10</v>
      </c>
      <c r="B15" s="84">
        <v>1817</v>
      </c>
      <c r="C15" s="84">
        <v>3063</v>
      </c>
      <c r="D15" s="84">
        <v>3986</v>
      </c>
      <c r="E15" s="84">
        <v>3962</v>
      </c>
      <c r="F15" s="84">
        <v>3541</v>
      </c>
      <c r="G15" s="85">
        <v>3178</v>
      </c>
      <c r="H15" s="2"/>
    </row>
    <row r="16" spans="1:8" ht="31.5" customHeight="1" x14ac:dyDescent="0.25">
      <c r="A16" s="15" t="s">
        <v>11</v>
      </c>
      <c r="B16" s="91">
        <v>-1099</v>
      </c>
      <c r="C16" s="91">
        <v>-1497</v>
      </c>
      <c r="D16" s="91">
        <v>-2310</v>
      </c>
      <c r="E16" s="91">
        <v>-2994</v>
      </c>
      <c r="F16" s="91">
        <v>-2719</v>
      </c>
      <c r="G16" s="92">
        <v>-2094</v>
      </c>
      <c r="H16" s="2"/>
    </row>
    <row r="17" spans="1:8" ht="15.75" thickBot="1" x14ac:dyDescent="0.3">
      <c r="A17" s="69" t="s">
        <v>12</v>
      </c>
      <c r="B17" s="86">
        <v>1260</v>
      </c>
      <c r="C17" s="86">
        <v>1513</v>
      </c>
      <c r="D17" s="86">
        <v>1664</v>
      </c>
      <c r="E17" s="86">
        <v>1754</v>
      </c>
      <c r="F17" s="86">
        <v>1865</v>
      </c>
      <c r="G17" s="87">
        <v>1917</v>
      </c>
      <c r="H17" s="2"/>
    </row>
    <row r="18" spans="1:8" ht="15.75" thickBot="1" x14ac:dyDescent="0.3">
      <c r="A18" s="109" t="s">
        <v>15</v>
      </c>
      <c r="B18" s="109"/>
      <c r="C18" s="2"/>
      <c r="D18" s="2"/>
      <c r="E18" s="2"/>
      <c r="F18" s="2"/>
      <c r="G18" s="2"/>
      <c r="H18" s="2"/>
    </row>
    <row r="19" spans="1:8" x14ac:dyDescent="0.25">
      <c r="A19" s="49" t="s">
        <v>16</v>
      </c>
      <c r="B19" s="93" t="s">
        <v>22</v>
      </c>
      <c r="C19" s="94">
        <f>C3/B3-1</f>
        <v>0.29100035018092685</v>
      </c>
      <c r="D19" s="94">
        <f>D3/C3-1</f>
        <v>0.2855334538878842</v>
      </c>
      <c r="E19" s="94">
        <f>E3/D3-1</f>
        <v>0.14706709804473195</v>
      </c>
      <c r="F19" s="94">
        <f>F3/E3-1</f>
        <v>-8.3021644490771984E-2</v>
      </c>
      <c r="G19" s="95">
        <f>G3/F3-1</f>
        <v>-1.9592109662320278E-2</v>
      </c>
      <c r="H19" s="2"/>
    </row>
    <row r="20" spans="1:8" x14ac:dyDescent="0.25">
      <c r="A20" s="7" t="s">
        <v>17</v>
      </c>
      <c r="B20" s="19">
        <f t="shared" ref="B20:G20" si="0">B7/B3</f>
        <v>0.20835765145325086</v>
      </c>
      <c r="C20" s="19">
        <f t="shared" si="0"/>
        <v>8.8788426763110301E-2</v>
      </c>
      <c r="D20" s="19">
        <f t="shared" si="0"/>
        <v>0.31776621184414122</v>
      </c>
      <c r="E20" s="19">
        <f t="shared" si="0"/>
        <v>0.35397633208657797</v>
      </c>
      <c r="F20" s="19">
        <f t="shared" si="0"/>
        <v>0.27395519893012371</v>
      </c>
      <c r="G20" s="20">
        <f t="shared" si="0"/>
        <v>0.23407447824307734</v>
      </c>
      <c r="H20" s="2"/>
    </row>
    <row r="21" spans="1:8" x14ac:dyDescent="0.25">
      <c r="A21" s="7" t="s">
        <v>18</v>
      </c>
      <c r="B21" s="19">
        <f>B6/B3</f>
        <v>6.1281662192132602E-2</v>
      </c>
      <c r="C21" s="19">
        <f t="shared" ref="C21:G21" si="1">C6/C3</f>
        <v>0.13282097649186256</v>
      </c>
      <c r="D21" s="19">
        <f t="shared" si="1"/>
        <v>0.20073146715431145</v>
      </c>
      <c r="E21" s="19">
        <f t="shared" si="1"/>
        <v>0.24642835244343614</v>
      </c>
      <c r="F21" s="19">
        <f t="shared" si="1"/>
        <v>0.14924774322968906</v>
      </c>
      <c r="G21" s="20">
        <f t="shared" si="1"/>
        <v>0.10332833174191788</v>
      </c>
      <c r="H21" s="2"/>
    </row>
    <row r="22" spans="1:8" x14ac:dyDescent="0.25">
      <c r="A22" s="7" t="s">
        <v>19</v>
      </c>
      <c r="B22" s="19">
        <f>-B8/B6</f>
        <v>9.9047619047619051E-2</v>
      </c>
      <c r="C22" s="19">
        <f t="shared" ref="C22:G22" si="2">-C8/C6</f>
        <v>9.8025867937372363E-2</v>
      </c>
      <c r="D22" s="19">
        <f t="shared" si="2"/>
        <v>0.18815697266993692</v>
      </c>
      <c r="E22" s="19">
        <f t="shared" si="2"/>
        <v>0.19457576511570043</v>
      </c>
      <c r="F22" s="19">
        <f t="shared" si="2"/>
        <v>0.16935483870967741</v>
      </c>
      <c r="G22" s="20">
        <f t="shared" si="2"/>
        <v>0.24422442244224424</v>
      </c>
      <c r="H22" s="2"/>
    </row>
    <row r="23" spans="1:8" x14ac:dyDescent="0.25">
      <c r="A23" s="7" t="s">
        <v>20</v>
      </c>
      <c r="B23" s="19">
        <f>-B16/B3</f>
        <v>0.12828294618886424</v>
      </c>
      <c r="C23" s="19">
        <f t="shared" ref="C23:G23" si="3">-C16/C3</f>
        <v>0.13535262206148282</v>
      </c>
      <c r="D23" s="19">
        <f t="shared" si="3"/>
        <v>0.16247010831340555</v>
      </c>
      <c r="E23" s="19">
        <f t="shared" si="3"/>
        <v>0.18357961861548838</v>
      </c>
      <c r="F23" s="19">
        <f t="shared" si="3"/>
        <v>0.18181210297559344</v>
      </c>
      <c r="G23" s="20">
        <f t="shared" si="3"/>
        <v>0.14281816941754194</v>
      </c>
      <c r="H23" s="2"/>
    </row>
    <row r="24" spans="1:8" ht="15.75" thickBot="1" x14ac:dyDescent="0.3">
      <c r="A24" s="69" t="s">
        <v>21</v>
      </c>
      <c r="B24" s="96">
        <f>B17/B3</f>
        <v>0.14707598926111826</v>
      </c>
      <c r="C24" s="96">
        <f t="shared" ref="C24:G24" si="4">C17/C3</f>
        <v>0.1367992766726944</v>
      </c>
      <c r="D24" s="96">
        <f t="shared" si="4"/>
        <v>0.11703474468982979</v>
      </c>
      <c r="E24" s="96">
        <f t="shared" si="4"/>
        <v>0.10754797964314182</v>
      </c>
      <c r="F24" s="96">
        <f t="shared" si="4"/>
        <v>0.12470745570043464</v>
      </c>
      <c r="G24" s="97">
        <f t="shared" si="4"/>
        <v>0.13074614650115945</v>
      </c>
      <c r="H24" s="2"/>
    </row>
    <row r="25" spans="1:8" x14ac:dyDescent="0.25">
      <c r="A25" s="2"/>
      <c r="B25" s="2"/>
      <c r="C25" s="2"/>
      <c r="D25" s="2"/>
      <c r="E25" s="2"/>
      <c r="F25" s="2"/>
      <c r="G25" s="2"/>
      <c r="H25" s="2"/>
    </row>
  </sheetData>
  <mergeCells count="1">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1B0D-F2DE-477B-BDE9-CAA055787686}">
  <dimension ref="A1:M20"/>
  <sheetViews>
    <sheetView workbookViewId="0">
      <selection activeCell="E17" sqref="E17"/>
    </sheetView>
  </sheetViews>
  <sheetFormatPr defaultRowHeight="15" x14ac:dyDescent="0.25"/>
  <cols>
    <col min="1" max="1" width="27.85546875" style="5" bestFit="1" customWidth="1"/>
    <col min="2" max="2" width="12.140625" bestFit="1" customWidth="1"/>
    <col min="3" max="11" width="11.85546875" bestFit="1" customWidth="1"/>
    <col min="12" max="12" width="2.5703125" customWidth="1"/>
  </cols>
  <sheetData>
    <row r="1" spans="1:13" ht="15.75" thickBot="1" x14ac:dyDescent="0.3">
      <c r="A1" s="4"/>
      <c r="B1" s="2"/>
      <c r="C1" s="2"/>
      <c r="D1" s="2"/>
      <c r="E1" s="2"/>
      <c r="F1" s="2"/>
      <c r="G1" s="2"/>
      <c r="H1" s="2"/>
      <c r="I1" s="2"/>
      <c r="J1" s="2"/>
      <c r="K1" s="2"/>
      <c r="L1" s="2"/>
    </row>
    <row r="2" spans="1:13" x14ac:dyDescent="0.25">
      <c r="A2" s="49" t="s">
        <v>42</v>
      </c>
      <c r="B2" s="14">
        <v>2026</v>
      </c>
      <c r="C2" s="14">
        <v>2027</v>
      </c>
      <c r="D2" s="14">
        <v>2028</v>
      </c>
      <c r="E2" s="14">
        <v>2029</v>
      </c>
      <c r="F2" s="14">
        <v>2030</v>
      </c>
      <c r="G2" s="14">
        <v>2031</v>
      </c>
      <c r="H2" s="14">
        <v>2032</v>
      </c>
      <c r="I2" s="14">
        <v>2033</v>
      </c>
      <c r="J2" s="14">
        <v>2034</v>
      </c>
      <c r="K2" s="50">
        <v>2035</v>
      </c>
      <c r="L2" s="2"/>
    </row>
    <row r="3" spans="1:13" x14ac:dyDescent="0.25">
      <c r="A3" s="7" t="s">
        <v>0</v>
      </c>
      <c r="B3" s="18">
        <f>'Historical Fin'!G3*(1+Assumptions!B3)</f>
        <v>15981.580000000002</v>
      </c>
      <c r="C3" s="18">
        <f>B3*(1+Assumptions!C3)</f>
        <v>17260.106400000004</v>
      </c>
      <c r="D3" s="18">
        <f>C3*(1+Assumptions!D3)</f>
        <v>18468.313848000005</v>
      </c>
      <c r="E3" s="18">
        <f>D3*(1+Assumptions!E3)</f>
        <v>19391.729540400007</v>
      </c>
      <c r="F3" s="18">
        <f>E3*(1+Assumptions!F3)</f>
        <v>19973.481426612008</v>
      </c>
      <c r="G3" s="18">
        <f>F3*(1+Assumptions!G3)</f>
        <v>20572.685869410368</v>
      </c>
      <c r="H3" s="18">
        <f>G3*(1+Assumptions!H3)</f>
        <v>21189.86644549268</v>
      </c>
      <c r="I3" s="18">
        <f>H3*(1+Assumptions!I3)</f>
        <v>21613.663774402536</v>
      </c>
      <c r="J3" s="18">
        <f>I3*(1+Assumptions!J3)</f>
        <v>22045.937049890588</v>
      </c>
      <c r="K3" s="21">
        <f>J3*(1+Assumptions!K3)</f>
        <v>22486.855790888399</v>
      </c>
      <c r="L3" s="32"/>
      <c r="M3" s="33"/>
    </row>
    <row r="4" spans="1:13" x14ac:dyDescent="0.25">
      <c r="A4" s="7" t="s">
        <v>4</v>
      </c>
      <c r="B4" s="18">
        <f>B3*Assumptions!B4</f>
        <v>3356.1318000000001</v>
      </c>
      <c r="C4" s="18">
        <f>C3*Assumptions!C4</f>
        <v>3797.2234080000007</v>
      </c>
      <c r="D4" s="18">
        <f>D3*Assumptions!D4</f>
        <v>4247.7121850400017</v>
      </c>
      <c r="E4" s="18">
        <f>E3*Assumptions!E4</f>
        <v>4460.0977942920017</v>
      </c>
      <c r="F4" s="18">
        <f>F3*Assumptions!F4</f>
        <v>4593.9007281207623</v>
      </c>
      <c r="G4" s="18">
        <f>G3*Assumptions!G4</f>
        <v>4937.4446086584885</v>
      </c>
      <c r="H4" s="18">
        <f>H3*Assumptions!H4</f>
        <v>5085.5679469182433</v>
      </c>
      <c r="I4" s="18">
        <f>I3*Assumptions!I4</f>
        <v>5187.2793058566085</v>
      </c>
      <c r="J4" s="18">
        <f>J3*Assumptions!J4</f>
        <v>5291.0248919737414</v>
      </c>
      <c r="K4" s="21">
        <f>K3*Assumptions!K4</f>
        <v>5621.7139477220999</v>
      </c>
      <c r="L4" s="32"/>
      <c r="M4" s="33"/>
    </row>
    <row r="5" spans="1:13" x14ac:dyDescent="0.25">
      <c r="A5" s="7" t="s">
        <v>43</v>
      </c>
      <c r="B5" s="18">
        <f>B3*Assumptions!B5</f>
        <v>2077.6054000000004</v>
      </c>
      <c r="C5" s="18">
        <f>C3*Assumptions!C5</f>
        <v>2243.8138320000007</v>
      </c>
      <c r="D5" s="18">
        <f>D3*Assumptions!D5</f>
        <v>2308.5392310000007</v>
      </c>
      <c r="E5" s="18">
        <f>E3*Assumptions!E5</f>
        <v>2327.0075448480006</v>
      </c>
      <c r="F5" s="18">
        <f>F3*Assumptions!F5</f>
        <v>2396.8177711934409</v>
      </c>
      <c r="G5" s="18">
        <f>G3*Assumptions!G5</f>
        <v>2468.7223043292443</v>
      </c>
      <c r="H5" s="18">
        <f>H3*Assumptions!H5</f>
        <v>2436.8346412316582</v>
      </c>
      <c r="I5" s="18">
        <f>I3*Assumptions!I5</f>
        <v>2485.5713340562916</v>
      </c>
      <c r="J5" s="18">
        <f>J3*Assumptions!J5</f>
        <v>2425.0530754879646</v>
      </c>
      <c r="K5" s="21">
        <f>K3*Assumptions!K5</f>
        <v>2473.5541369977236</v>
      </c>
      <c r="L5" s="32"/>
      <c r="M5" s="33"/>
    </row>
    <row r="6" spans="1:13" x14ac:dyDescent="0.25">
      <c r="A6" s="7" t="s">
        <v>4</v>
      </c>
      <c r="B6" s="18">
        <f>B4-B5</f>
        <v>1278.5263999999997</v>
      </c>
      <c r="C6" s="18">
        <f t="shared" ref="C6:K6" si="0">C4-C5</f>
        <v>1553.409576</v>
      </c>
      <c r="D6" s="18">
        <f t="shared" si="0"/>
        <v>1939.1729540400011</v>
      </c>
      <c r="E6" s="18">
        <f t="shared" si="0"/>
        <v>2133.0902494440011</v>
      </c>
      <c r="F6" s="18">
        <f t="shared" si="0"/>
        <v>2197.0829569273214</v>
      </c>
      <c r="G6" s="18">
        <f t="shared" si="0"/>
        <v>2468.7223043292443</v>
      </c>
      <c r="H6" s="18">
        <f t="shared" si="0"/>
        <v>2648.733305686585</v>
      </c>
      <c r="I6" s="18">
        <f t="shared" si="0"/>
        <v>2701.707971800317</v>
      </c>
      <c r="J6" s="18">
        <f t="shared" si="0"/>
        <v>2865.9718164857768</v>
      </c>
      <c r="K6" s="21">
        <f t="shared" si="0"/>
        <v>3148.1598107243763</v>
      </c>
      <c r="L6" s="32"/>
      <c r="M6" s="33"/>
    </row>
    <row r="7" spans="1:13" x14ac:dyDescent="0.25">
      <c r="A7" s="7" t="s">
        <v>44</v>
      </c>
      <c r="B7" s="18">
        <f>-B6*Assumptions!B7</f>
        <v>-306.84633599999995</v>
      </c>
      <c r="C7" s="18">
        <f>-C6*Assumptions!C7</f>
        <v>-372.81829823999999</v>
      </c>
      <c r="D7" s="18">
        <f>-D6*Assumptions!D7</f>
        <v>-465.40150896960023</v>
      </c>
      <c r="E7" s="18">
        <f>-E6*Assumptions!E7</f>
        <v>-511.94165986656026</v>
      </c>
      <c r="F7" s="18">
        <f>-F6*Assumptions!F7</f>
        <v>-527.29990966255718</v>
      </c>
      <c r="G7" s="18">
        <f>-G6*Assumptions!G7</f>
        <v>-592.49335303901864</v>
      </c>
      <c r="H7" s="18">
        <f>-H6*Assumptions!H7</f>
        <v>-635.69599336478041</v>
      </c>
      <c r="I7" s="18">
        <f>-I6*Assumptions!I7</f>
        <v>-648.40991323207606</v>
      </c>
      <c r="J7" s="18">
        <f>-J6*Assumptions!J7</f>
        <v>-687.83323595658635</v>
      </c>
      <c r="K7" s="21">
        <f>-K6*Assumptions!K7</f>
        <v>-755.55835457385024</v>
      </c>
      <c r="L7" s="32"/>
      <c r="M7" s="33"/>
    </row>
    <row r="8" spans="1:13" x14ac:dyDescent="0.25">
      <c r="A8" s="15" t="s">
        <v>45</v>
      </c>
      <c r="B8" s="34">
        <f>B6-B7</f>
        <v>1585.3727359999998</v>
      </c>
      <c r="C8" s="34">
        <f t="shared" ref="C8:K8" si="1">C6-C7</f>
        <v>1926.2278742399999</v>
      </c>
      <c r="D8" s="34">
        <f t="shared" si="1"/>
        <v>2404.5744630096015</v>
      </c>
      <c r="E8" s="34">
        <f t="shared" si="1"/>
        <v>2645.0319093105613</v>
      </c>
      <c r="F8" s="34">
        <f t="shared" si="1"/>
        <v>2724.3828665898786</v>
      </c>
      <c r="G8" s="34">
        <f t="shared" si="1"/>
        <v>3061.2156573682628</v>
      </c>
      <c r="H8" s="34">
        <f t="shared" si="1"/>
        <v>3284.4292990513654</v>
      </c>
      <c r="I8" s="34">
        <f t="shared" si="1"/>
        <v>3350.1178850323931</v>
      </c>
      <c r="J8" s="34">
        <f t="shared" si="1"/>
        <v>3553.8050524423634</v>
      </c>
      <c r="K8" s="67">
        <f t="shared" si="1"/>
        <v>3903.7181652982263</v>
      </c>
      <c r="L8" s="32"/>
      <c r="M8" s="33"/>
    </row>
    <row r="9" spans="1:13" x14ac:dyDescent="0.25">
      <c r="A9" s="7" t="s">
        <v>46</v>
      </c>
      <c r="B9" s="35">
        <f>-B3*Assumptions!B6</f>
        <v>-2077.6054000000004</v>
      </c>
      <c r="C9" s="35">
        <f>-C3*Assumptions!C6</f>
        <v>-2157.5133000000005</v>
      </c>
      <c r="D9" s="35">
        <f>-D3*Assumptions!D6</f>
        <v>-2216.1976617600008</v>
      </c>
      <c r="E9" s="35">
        <f>-E3*Assumptions!E6</f>
        <v>-2230.0488971460009</v>
      </c>
      <c r="F9" s="35">
        <f>-F3*Assumptions!F6</f>
        <v>-2197.0829569273205</v>
      </c>
      <c r="G9" s="35">
        <f>-G3*Assumptions!G6</f>
        <v>-2160.1320162880884</v>
      </c>
      <c r="H9" s="35">
        <f>-H3*Assumptions!H6</f>
        <v>-2118.9866445492676</v>
      </c>
      <c r="I9" s="35">
        <f>-I3*Assumptions!I6</f>
        <v>-2053.2980585682403</v>
      </c>
      <c r="J9" s="35">
        <f>-J3*Assumptions!J6</f>
        <v>-1984.1343344901522</v>
      </c>
      <c r="K9" s="68">
        <f>-K3*Assumptions!K6</f>
        <v>-1911.3827422255131</v>
      </c>
      <c r="L9" s="32"/>
      <c r="M9" s="33"/>
    </row>
    <row r="10" spans="1:13" x14ac:dyDescent="0.25">
      <c r="A10" s="7" t="s">
        <v>47</v>
      </c>
      <c r="B10" s="18">
        <f>-(B3-'Historical Fin'!G3)*Assumptions!B8</f>
        <v>-79.174800000000104</v>
      </c>
      <c r="C10" s="18">
        <f>-(C3-'Historical Fin'!H3)*Assumptions!C8</f>
        <v>-1035.6063840000002</v>
      </c>
      <c r="D10" s="18">
        <f>-(D3-'Historical Fin'!I3)*Assumptions!D8</f>
        <v>-1108.0988308800004</v>
      </c>
      <c r="E10" s="18">
        <f>-(E3-'Historical Fin'!J3)*Assumptions!E8</f>
        <v>-1163.5037724240003</v>
      </c>
      <c r="F10" s="18">
        <f>-(F3-'Historical Fin'!K3)*Assumptions!F8</f>
        <v>-1198.4088855967204</v>
      </c>
      <c r="G10" s="18">
        <f>-(G3-'Historical Fin'!L3)*Assumptions!G8</f>
        <v>-1234.3611521646221</v>
      </c>
      <c r="H10" s="18">
        <f>-(H3-'Historical Fin'!M3)*Assumptions!H8</f>
        <v>-1271.3919867295608</v>
      </c>
      <c r="I10" s="18">
        <f>-(I3-'Historical Fin'!N3)*Assumptions!I8</f>
        <v>-1296.8198264641521</v>
      </c>
      <c r="J10" s="18">
        <f>-(J3-'Historical Fin'!O3)*Assumptions!J8</f>
        <v>-1322.7562229934354</v>
      </c>
      <c r="K10" s="21">
        <f>-(K3-'Historical Fin'!P3)*Assumptions!K8</f>
        <v>-1349.2113474533039</v>
      </c>
      <c r="L10" s="32"/>
      <c r="M10" s="33"/>
    </row>
    <row r="11" spans="1:13" ht="15.75" thickBot="1" x14ac:dyDescent="0.3">
      <c r="A11" s="69" t="s">
        <v>48</v>
      </c>
      <c r="B11" s="70">
        <f>B8+B5+B10+B9</f>
        <v>1506.1979359999996</v>
      </c>
      <c r="C11" s="70">
        <f>C8+C5+C10+C9</f>
        <v>976.92202224000039</v>
      </c>
      <c r="D11" s="70">
        <f t="shared" ref="D11:K11" si="2">D8+D5+D10+D9</f>
        <v>1388.8172013696008</v>
      </c>
      <c r="E11" s="70">
        <f t="shared" si="2"/>
        <v>1578.486784588561</v>
      </c>
      <c r="F11" s="70">
        <f t="shared" si="2"/>
        <v>1725.7087952592788</v>
      </c>
      <c r="G11" s="70">
        <f t="shared" si="2"/>
        <v>2135.4447932447974</v>
      </c>
      <c r="H11" s="70">
        <f t="shared" si="2"/>
        <v>2330.8853090041953</v>
      </c>
      <c r="I11" s="70">
        <f t="shared" si="2"/>
        <v>2485.571334056292</v>
      </c>
      <c r="J11" s="70">
        <f t="shared" si="2"/>
        <v>2671.96757044674</v>
      </c>
      <c r="K11" s="71">
        <f t="shared" si="2"/>
        <v>3116.6782126171324</v>
      </c>
      <c r="L11" s="32"/>
      <c r="M11" s="33"/>
    </row>
    <row r="12" spans="1:13" x14ac:dyDescent="0.25">
      <c r="A12" s="23"/>
      <c r="B12" s="24"/>
      <c r="C12" s="24"/>
      <c r="D12" s="24"/>
      <c r="E12" s="24"/>
      <c r="F12" s="24"/>
      <c r="G12" s="24"/>
      <c r="H12" s="24"/>
      <c r="I12" s="24"/>
      <c r="J12" s="24"/>
      <c r="K12" s="24"/>
      <c r="L12" s="2"/>
    </row>
    <row r="13" spans="1:13" x14ac:dyDescent="0.25">
      <c r="A13" s="25"/>
      <c r="B13" s="26"/>
      <c r="C13" s="26"/>
      <c r="D13" s="26"/>
      <c r="E13" s="26"/>
      <c r="F13" s="26"/>
      <c r="G13" s="26"/>
      <c r="H13" s="26"/>
      <c r="I13" s="26"/>
      <c r="J13" s="26"/>
      <c r="K13" s="26"/>
      <c r="L13" s="8"/>
    </row>
    <row r="14" spans="1:13" x14ac:dyDescent="0.25">
      <c r="A14" s="25"/>
      <c r="B14" s="26"/>
      <c r="C14" s="26"/>
      <c r="D14" s="26"/>
      <c r="E14" s="26"/>
      <c r="F14" s="26"/>
      <c r="G14" s="26"/>
      <c r="H14" s="26"/>
      <c r="I14" s="26"/>
      <c r="J14" s="26"/>
      <c r="K14" s="26"/>
      <c r="L14" s="8"/>
    </row>
    <row r="15" spans="1:13" x14ac:dyDescent="0.25">
      <c r="A15" s="25"/>
      <c r="B15" s="26"/>
      <c r="C15" s="26"/>
      <c r="D15" s="26"/>
      <c r="E15" s="26"/>
      <c r="F15" s="26"/>
      <c r="G15" s="26"/>
      <c r="H15" s="26"/>
      <c r="I15" s="26"/>
      <c r="J15" s="26"/>
      <c r="K15" s="26"/>
      <c r="L15" s="8"/>
    </row>
    <row r="16" spans="1:13" x14ac:dyDescent="0.25">
      <c r="A16" s="25"/>
      <c r="B16" s="26"/>
      <c r="C16" s="26"/>
      <c r="D16" s="26"/>
      <c r="E16" s="26"/>
      <c r="F16" s="26"/>
      <c r="G16" s="26"/>
      <c r="H16" s="26"/>
      <c r="I16" s="26"/>
      <c r="J16" s="26"/>
      <c r="K16" s="26"/>
      <c r="L16" s="8"/>
    </row>
    <row r="17" spans="1:12" x14ac:dyDescent="0.25">
      <c r="A17" s="27"/>
      <c r="B17" s="26"/>
      <c r="C17" s="31"/>
      <c r="D17" s="26"/>
      <c r="E17" s="26"/>
      <c r="F17" s="26"/>
      <c r="G17" s="26"/>
      <c r="H17" s="26"/>
      <c r="I17" s="26"/>
      <c r="J17" s="26"/>
      <c r="K17" s="26"/>
      <c r="L17" s="8"/>
    </row>
    <row r="18" spans="1:12" x14ac:dyDescent="0.25">
      <c r="A18" s="25"/>
      <c r="B18" s="28"/>
      <c r="C18" s="28"/>
      <c r="D18" s="28"/>
      <c r="E18" s="28"/>
      <c r="F18" s="28"/>
      <c r="G18" s="28"/>
      <c r="H18" s="28"/>
      <c r="I18" s="28"/>
      <c r="J18" s="28"/>
      <c r="K18" s="28"/>
      <c r="L18" s="8"/>
    </row>
    <row r="19" spans="1:12" x14ac:dyDescent="0.25">
      <c r="A19" s="29"/>
      <c r="B19" s="30"/>
      <c r="C19" s="31"/>
      <c r="D19" s="30"/>
      <c r="E19" s="31"/>
      <c r="F19" s="30"/>
      <c r="G19" s="30"/>
      <c r="H19" s="30"/>
      <c r="I19" s="30"/>
      <c r="J19" s="30"/>
      <c r="K19" s="30"/>
      <c r="L19" s="8"/>
    </row>
    <row r="20" spans="1:12" x14ac:dyDescent="0.25">
      <c r="A20" s="9"/>
      <c r="B20" s="10"/>
      <c r="C20" s="11"/>
      <c r="D20" s="11"/>
      <c r="E20" s="11"/>
      <c r="F20" s="11"/>
      <c r="G20" s="11"/>
      <c r="H20" s="11"/>
      <c r="I20" s="11"/>
      <c r="J20" s="11"/>
      <c r="K20" s="11"/>
      <c r="L20" s="8"/>
    </row>
  </sheetData>
  <pageMargins left="0.7" right="0.7" top="0.75" bottom="0.75" header="0.3" footer="0.3"/>
  <ignoredErrors>
    <ignoredError sqref="B7:K7"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F69E-E99A-45A6-AB02-F8D12404592F}">
  <dimension ref="A1:L12"/>
  <sheetViews>
    <sheetView workbookViewId="0">
      <selection activeCell="A2" sqref="A2"/>
    </sheetView>
  </sheetViews>
  <sheetFormatPr defaultRowHeight="15" x14ac:dyDescent="0.25"/>
  <cols>
    <col min="1" max="1" width="30.28515625" bestFit="1" customWidth="1"/>
    <col min="2" max="10" width="11.85546875" bestFit="1" customWidth="1"/>
    <col min="11" max="11" width="12.85546875" bestFit="1" customWidth="1"/>
    <col min="12" max="12" width="2.140625" customWidth="1"/>
  </cols>
  <sheetData>
    <row r="1" spans="1:12" ht="15.75" thickBot="1" x14ac:dyDescent="0.3">
      <c r="A1" s="98"/>
      <c r="B1" s="2"/>
      <c r="C1" s="2"/>
      <c r="D1" s="2"/>
      <c r="E1" s="2"/>
      <c r="F1" s="2"/>
      <c r="G1" s="2"/>
      <c r="H1" s="2"/>
      <c r="I1" s="2"/>
      <c r="J1" s="2"/>
      <c r="K1" s="2"/>
      <c r="L1" s="2"/>
    </row>
    <row r="2" spans="1:12" x14ac:dyDescent="0.25">
      <c r="A2" s="49" t="s">
        <v>49</v>
      </c>
      <c r="B2" s="14">
        <v>2026</v>
      </c>
      <c r="C2" s="14">
        <v>2027</v>
      </c>
      <c r="D2" s="14">
        <v>2028</v>
      </c>
      <c r="E2" s="14">
        <v>2029</v>
      </c>
      <c r="F2" s="14">
        <v>2030</v>
      </c>
      <c r="G2" s="14">
        <v>2031</v>
      </c>
      <c r="H2" s="14">
        <v>2032</v>
      </c>
      <c r="I2" s="14">
        <v>2033</v>
      </c>
      <c r="J2" s="14">
        <v>2034</v>
      </c>
      <c r="K2" s="50">
        <v>2035</v>
      </c>
      <c r="L2" s="2"/>
    </row>
    <row r="3" spans="1:12" x14ac:dyDescent="0.25">
      <c r="A3" s="7" t="s">
        <v>48</v>
      </c>
      <c r="B3" s="36">
        <f>'Forecast '!B11</f>
        <v>1506.1979359999996</v>
      </c>
      <c r="C3" s="36">
        <f>'Forecast '!C11</f>
        <v>976.92202224000039</v>
      </c>
      <c r="D3" s="36">
        <f>'Forecast '!D11</f>
        <v>1388.8172013696008</v>
      </c>
      <c r="E3" s="36">
        <f>'Forecast '!E11</f>
        <v>1578.486784588561</v>
      </c>
      <c r="F3" s="36">
        <f>'Forecast '!F11</f>
        <v>1725.7087952592788</v>
      </c>
      <c r="G3" s="36">
        <f>'Forecast '!G11</f>
        <v>2135.4447932447974</v>
      </c>
      <c r="H3" s="36">
        <f>'Forecast '!H11</f>
        <v>2330.8853090041953</v>
      </c>
      <c r="I3" s="36">
        <f>'Forecast '!I11</f>
        <v>2485.571334056292</v>
      </c>
      <c r="J3" s="36">
        <f>'Forecast '!J11</f>
        <v>2671.96757044674</v>
      </c>
      <c r="K3" s="72">
        <f>'Forecast '!K11</f>
        <v>3116.6782126171324</v>
      </c>
      <c r="L3" s="2"/>
    </row>
    <row r="4" spans="1:12" x14ac:dyDescent="0.25">
      <c r="A4" s="7" t="s">
        <v>50</v>
      </c>
      <c r="B4" s="17">
        <f>1/(1+Assumptions!B16)^1</f>
        <v>0.92691291653149177</v>
      </c>
      <c r="C4" s="17">
        <f>1/(1+Assumptions!B16)^2</f>
        <v>0.85916755483291629</v>
      </c>
      <c r="D4" s="17">
        <f>1/(1+Assumptions!B16)^3</f>
        <v>0.79637350403940876</v>
      </c>
      <c r="E4" s="17">
        <f>1/(1+Assumptions!B16)^4</f>
        <v>0.73816888727757224</v>
      </c>
      <c r="F4" s="17">
        <f>1/(1+Assumptions!B16)^5</f>
        <v>0.68421827619926057</v>
      </c>
      <c r="G4" s="17">
        <f>1/(1+Assumptions!B16)^6</f>
        <v>0.63421075793600645</v>
      </c>
      <c r="H4" s="17">
        <f>1/(1+Assumptions!B16)^7</f>
        <v>0.58785814333411157</v>
      </c>
      <c r="I4" s="17">
        <f>1/(1+Assumptions!B16)^8</f>
        <v>0.54489330614460918</v>
      </c>
      <c r="J4" s="17">
        <f>1/(1+Assumptions!B16)^9</f>
        <v>0.50506864359698678</v>
      </c>
      <c r="K4" s="51">
        <f>1/(1+Assumptions!B16)^10</f>
        <v>0.46815464948508762</v>
      </c>
      <c r="L4" s="32"/>
    </row>
    <row r="5" spans="1:12" x14ac:dyDescent="0.25">
      <c r="A5" s="7" t="s">
        <v>51</v>
      </c>
      <c r="B5" s="18">
        <f>B3*B4</f>
        <v>1396.1143217314727</v>
      </c>
      <c r="C5" s="18">
        <f t="shared" ref="C5:K5" si="0">C3*C4</f>
        <v>839.33970511036898</v>
      </c>
      <c r="D5" s="18">
        <f t="shared" si="0"/>
        <v>1106.0172211249142</v>
      </c>
      <c r="E5" s="18">
        <f t="shared" si="0"/>
        <v>1165.1898333620909</v>
      </c>
      <c r="F5" s="18">
        <f t="shared" si="0"/>
        <v>1180.7614971142063</v>
      </c>
      <c r="G5" s="18">
        <f t="shared" si="0"/>
        <v>1354.3220608542815</v>
      </c>
      <c r="H5" s="18">
        <f t="shared" si="0"/>
        <v>1370.2299100759631</v>
      </c>
      <c r="I5" s="18">
        <f t="shared" si="0"/>
        <v>1354.3711818721997</v>
      </c>
      <c r="J5" s="18">
        <f t="shared" si="0"/>
        <v>1349.5270365406711</v>
      </c>
      <c r="K5" s="21">
        <f t="shared" si="0"/>
        <v>1459.087396185583</v>
      </c>
      <c r="L5" s="32"/>
    </row>
    <row r="6" spans="1:12" x14ac:dyDescent="0.25">
      <c r="A6" s="7" t="s">
        <v>56</v>
      </c>
      <c r="B6" s="99" t="s">
        <v>22</v>
      </c>
      <c r="C6" s="99" t="s">
        <v>22</v>
      </c>
      <c r="D6" s="99" t="s">
        <v>22</v>
      </c>
      <c r="E6" s="99" t="s">
        <v>22</v>
      </c>
      <c r="F6" s="99" t="s">
        <v>22</v>
      </c>
      <c r="G6" s="99" t="s">
        <v>22</v>
      </c>
      <c r="H6" s="99" t="s">
        <v>22</v>
      </c>
      <c r="I6" s="99" t="s">
        <v>22</v>
      </c>
      <c r="J6" s="99" t="s">
        <v>22</v>
      </c>
      <c r="K6" s="21">
        <f>K3/(Assumptions!B16-Assumptions!B17)</f>
        <v>57877.032731980173</v>
      </c>
      <c r="L6" s="32"/>
    </row>
    <row r="7" spans="1:12" x14ac:dyDescent="0.25">
      <c r="A7" s="7" t="s">
        <v>52</v>
      </c>
      <c r="B7" s="99" t="s">
        <v>22</v>
      </c>
      <c r="C7" s="99" t="s">
        <v>22</v>
      </c>
      <c r="D7" s="99" t="s">
        <v>22</v>
      </c>
      <c r="E7" s="99" t="s">
        <v>22</v>
      </c>
      <c r="F7" s="99" t="s">
        <v>22</v>
      </c>
      <c r="G7" s="99" t="s">
        <v>22</v>
      </c>
      <c r="H7" s="99" t="s">
        <v>22</v>
      </c>
      <c r="I7" s="99" t="s">
        <v>22</v>
      </c>
      <c r="J7" s="99" t="s">
        <v>22</v>
      </c>
      <c r="K7" s="21">
        <f>K6*K4</f>
        <v>27095.40197187712</v>
      </c>
      <c r="L7" s="32"/>
    </row>
    <row r="8" spans="1:12" x14ac:dyDescent="0.25">
      <c r="A8" s="7" t="s">
        <v>53</v>
      </c>
      <c r="B8" s="99" t="s">
        <v>22</v>
      </c>
      <c r="C8" s="99" t="s">
        <v>22</v>
      </c>
      <c r="D8" s="99" t="s">
        <v>22</v>
      </c>
      <c r="E8" s="99" t="s">
        <v>22</v>
      </c>
      <c r="F8" s="99" t="s">
        <v>22</v>
      </c>
      <c r="G8" s="99" t="s">
        <v>22</v>
      </c>
      <c r="H8" s="99" t="s">
        <v>22</v>
      </c>
      <c r="I8" s="99" t="s">
        <v>22</v>
      </c>
      <c r="J8" s="99" t="s">
        <v>22</v>
      </c>
      <c r="K8" s="21">
        <f>SUM(B5:K5)+K7</f>
        <v>39670.362135848874</v>
      </c>
      <c r="L8" s="32"/>
    </row>
    <row r="9" spans="1:12" x14ac:dyDescent="0.25">
      <c r="A9" s="15" t="s">
        <v>54</v>
      </c>
      <c r="B9" s="99" t="s">
        <v>22</v>
      </c>
      <c r="C9" s="99" t="s">
        <v>22</v>
      </c>
      <c r="D9" s="99" t="s">
        <v>22</v>
      </c>
      <c r="E9" s="99" t="s">
        <v>22</v>
      </c>
      <c r="F9" s="99" t="s">
        <v>22</v>
      </c>
      <c r="G9" s="99" t="s">
        <v>22</v>
      </c>
      <c r="H9" s="99" t="s">
        <v>22</v>
      </c>
      <c r="I9" s="99" t="s">
        <v>22</v>
      </c>
      <c r="J9" s="99" t="s">
        <v>22</v>
      </c>
      <c r="K9" s="67">
        <f>K8-Assumptions!B18</f>
        <v>44397.362135848874</v>
      </c>
      <c r="L9" s="32"/>
    </row>
    <row r="10" spans="1:12" x14ac:dyDescent="0.25">
      <c r="A10" s="7" t="s">
        <v>55</v>
      </c>
      <c r="B10" s="99" t="s">
        <v>22</v>
      </c>
      <c r="C10" s="99" t="s">
        <v>22</v>
      </c>
      <c r="D10" s="99" t="s">
        <v>22</v>
      </c>
      <c r="E10" s="99" t="s">
        <v>22</v>
      </c>
      <c r="F10" s="99" t="s">
        <v>22</v>
      </c>
      <c r="G10" s="99" t="s">
        <v>22</v>
      </c>
      <c r="H10" s="99" t="s">
        <v>22</v>
      </c>
      <c r="I10" s="99" t="s">
        <v>22</v>
      </c>
      <c r="J10" s="99" t="s">
        <v>22</v>
      </c>
      <c r="K10" s="68">
        <f>K9/Assumptions!B19</f>
        <v>33.994917408766369</v>
      </c>
      <c r="L10" s="32"/>
    </row>
    <row r="11" spans="1:12" ht="15.75" thickBot="1" x14ac:dyDescent="0.3">
      <c r="A11" s="73" t="s">
        <v>57</v>
      </c>
      <c r="B11" s="70">
        <f>$K$10*(1+Assumptions!B13)^1</f>
        <v>37.224434562599171</v>
      </c>
      <c r="C11" s="70">
        <f>$K$10*(1+Assumptions!B13)^2</f>
        <v>40.760755846046095</v>
      </c>
      <c r="D11" s="70">
        <f>$K$10*(1+Assumptions!B13)^3</f>
        <v>44.63302765142047</v>
      </c>
      <c r="E11" s="70">
        <f>$K$10*(1+Assumptions!B13)^4</f>
        <v>48.873165278305422</v>
      </c>
      <c r="F11" s="70">
        <f>$K$10*(1+Assumptions!B13)^5</f>
        <v>53.516115979744434</v>
      </c>
      <c r="G11" s="70">
        <f>$K$10*(1+Assumptions!B13)^6</f>
        <v>58.600146997820161</v>
      </c>
      <c r="H11" s="70">
        <f>$K$10*(1+Assumptions!B13)^7</f>
        <v>64.167160962613067</v>
      </c>
      <c r="I11" s="70">
        <f>$K$10*(1+Assumptions!B13)^8</f>
        <v>70.263041254061321</v>
      </c>
      <c r="J11" s="70">
        <f>$K$10*(1+Assumptions!B13)^9</f>
        <v>76.938030173197134</v>
      </c>
      <c r="K11" s="71">
        <f>$K$10*(1+Assumptions!B13)^10</f>
        <v>84.247143039650879</v>
      </c>
      <c r="L11" s="32"/>
    </row>
    <row r="12" spans="1:12" x14ac:dyDescent="0.25">
      <c r="A12" s="23"/>
      <c r="B12" s="24"/>
      <c r="C12" s="24"/>
      <c r="D12" s="24"/>
      <c r="E12" s="24"/>
      <c r="F12" s="24"/>
      <c r="G12" s="24"/>
      <c r="H12" s="24"/>
      <c r="I12" s="24"/>
      <c r="J12" s="24"/>
      <c r="K12" s="24"/>
      <c r="L1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78C47-88A4-46FD-80DB-EE70A74EA061}">
  <dimension ref="A1:M11"/>
  <sheetViews>
    <sheetView workbookViewId="0">
      <selection sqref="A1:G8"/>
    </sheetView>
  </sheetViews>
  <sheetFormatPr defaultRowHeight="15" x14ac:dyDescent="0.25"/>
  <cols>
    <col min="1" max="1" width="16" bestFit="1" customWidth="1"/>
    <col min="7" max="7" width="6.5703125" bestFit="1" customWidth="1"/>
  </cols>
  <sheetData>
    <row r="1" spans="1:13" ht="15.75" thickBot="1" x14ac:dyDescent="0.3">
      <c r="A1" s="2"/>
      <c r="B1" s="2"/>
      <c r="C1" s="2"/>
      <c r="D1" s="2"/>
      <c r="E1" s="2"/>
      <c r="F1" s="2"/>
      <c r="G1" s="2"/>
    </row>
    <row r="2" spans="1:13" x14ac:dyDescent="0.25">
      <c r="A2" s="74" t="s">
        <v>58</v>
      </c>
      <c r="B2" s="75">
        <v>7.0000000000000007E-2</v>
      </c>
      <c r="C2" s="75">
        <v>7.4999999999999997E-2</v>
      </c>
      <c r="D2" s="75">
        <v>7.8850000000000003E-2</v>
      </c>
      <c r="E2" s="75">
        <v>8.5000000000000006E-2</v>
      </c>
      <c r="F2" s="76">
        <v>0.09</v>
      </c>
      <c r="G2" s="52" t="s">
        <v>37</v>
      </c>
      <c r="I2" s="38"/>
      <c r="J2" s="38"/>
      <c r="K2" s="38"/>
      <c r="L2" s="38"/>
      <c r="M2" s="38"/>
    </row>
    <row r="3" spans="1:13" x14ac:dyDescent="0.25">
      <c r="A3" s="77">
        <v>1.4999999999999999E-2</v>
      </c>
      <c r="B3" s="78">
        <v>36.03</v>
      </c>
      <c r="C3" s="78">
        <v>32.979999999999997</v>
      </c>
      <c r="D3" s="78">
        <v>30.96</v>
      </c>
      <c r="E3" s="78">
        <v>28.2</v>
      </c>
      <c r="F3" s="79">
        <v>26.31</v>
      </c>
      <c r="G3" s="2"/>
      <c r="H3" s="39"/>
    </row>
    <row r="4" spans="1:13" x14ac:dyDescent="0.25">
      <c r="A4" s="77">
        <v>0.02</v>
      </c>
      <c r="B4" s="78">
        <v>38.26</v>
      </c>
      <c r="C4" s="78">
        <v>34.75</v>
      </c>
      <c r="D4" s="78">
        <v>32.46</v>
      </c>
      <c r="E4" s="78">
        <v>29.37</v>
      </c>
      <c r="F4" s="79">
        <v>27.28</v>
      </c>
      <c r="G4" s="2"/>
      <c r="J4" s="39"/>
    </row>
    <row r="5" spans="1:13" x14ac:dyDescent="0.25">
      <c r="A5" s="77">
        <v>2.5000000000000001E-2</v>
      </c>
      <c r="B5" s="78">
        <v>40.98</v>
      </c>
      <c r="C5" s="78">
        <v>36.869999999999997</v>
      </c>
      <c r="D5" s="80">
        <f>DCF!K10</f>
        <v>33.994917408766369</v>
      </c>
      <c r="E5" s="78">
        <v>30.74</v>
      </c>
      <c r="F5" s="79">
        <v>28.4</v>
      </c>
      <c r="G5" s="2"/>
      <c r="I5" s="37"/>
    </row>
    <row r="6" spans="1:13" x14ac:dyDescent="0.25">
      <c r="A6" s="77">
        <v>0.03</v>
      </c>
      <c r="B6" s="78">
        <v>44.39</v>
      </c>
      <c r="C6" s="78">
        <v>39.47</v>
      </c>
      <c r="D6" s="78">
        <v>36.380000000000003</v>
      </c>
      <c r="E6" s="78">
        <v>32.36</v>
      </c>
      <c r="F6" s="79">
        <v>29.7</v>
      </c>
      <c r="G6" s="2"/>
      <c r="I6" s="37"/>
    </row>
    <row r="7" spans="1:13" ht="15.75" thickBot="1" x14ac:dyDescent="0.3">
      <c r="A7" s="81">
        <v>3.5000000000000003E-2</v>
      </c>
      <c r="B7" s="82">
        <v>48.77</v>
      </c>
      <c r="C7" s="82">
        <v>42.72</v>
      </c>
      <c r="D7" s="82">
        <v>39.020000000000003</v>
      </c>
      <c r="E7" s="82">
        <v>34.29</v>
      </c>
      <c r="F7" s="83">
        <v>31.24</v>
      </c>
      <c r="G7" s="2"/>
      <c r="I7" s="37"/>
    </row>
    <row r="8" spans="1:13" x14ac:dyDescent="0.25">
      <c r="A8" s="52" t="s">
        <v>59</v>
      </c>
      <c r="B8" s="2"/>
      <c r="C8" s="2"/>
      <c r="D8" s="2"/>
      <c r="E8" s="2"/>
      <c r="F8" s="2"/>
      <c r="G8" s="2"/>
      <c r="I8" s="37"/>
    </row>
    <row r="9" spans="1:13" x14ac:dyDescent="0.25">
      <c r="I9" s="37"/>
    </row>
    <row r="10" spans="1:13" x14ac:dyDescent="0.25">
      <c r="A10" s="40"/>
      <c r="B10" s="40"/>
    </row>
    <row r="11" spans="1:13" x14ac:dyDescent="0.25">
      <c r="A11" s="40"/>
      <c r="B11" s="4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5907-F7E7-43FB-8A41-9AD4F1DB9112}">
  <dimension ref="A1:G6"/>
  <sheetViews>
    <sheetView workbookViewId="0">
      <selection activeCell="B4" sqref="B4"/>
    </sheetView>
  </sheetViews>
  <sheetFormatPr defaultRowHeight="15" x14ac:dyDescent="0.25"/>
  <cols>
    <col min="1" max="1" width="8.5703125" bestFit="1" customWidth="1"/>
    <col min="2" max="2" width="9" bestFit="1" customWidth="1"/>
    <col min="3" max="3" width="7.42578125" bestFit="1" customWidth="1"/>
    <col min="4" max="4" width="7.140625" bestFit="1" customWidth="1"/>
    <col min="5" max="5" width="6.5703125" customWidth="1"/>
    <col min="6" max="6" width="8.85546875" bestFit="1" customWidth="1"/>
    <col min="7" max="7" width="2" customWidth="1"/>
  </cols>
  <sheetData>
    <row r="1" spans="1:7" ht="15.75" thickBot="1" x14ac:dyDescent="0.3">
      <c r="A1" s="2"/>
      <c r="B1" s="2"/>
      <c r="C1" s="2"/>
      <c r="D1" s="2"/>
      <c r="E1" s="2"/>
      <c r="F1" s="2"/>
      <c r="G1" s="2"/>
    </row>
    <row r="2" spans="1:7" ht="36" customHeight="1" x14ac:dyDescent="0.25">
      <c r="A2" s="54" t="s">
        <v>63</v>
      </c>
      <c r="B2" s="55" t="s">
        <v>16</v>
      </c>
      <c r="C2" s="56" t="s">
        <v>17</v>
      </c>
      <c r="D2" s="57" t="s">
        <v>46</v>
      </c>
      <c r="E2" s="58" t="s">
        <v>37</v>
      </c>
      <c r="F2" s="59" t="s">
        <v>59</v>
      </c>
      <c r="G2" s="2"/>
    </row>
    <row r="3" spans="1:7" x14ac:dyDescent="0.25">
      <c r="A3" s="60" t="s">
        <v>62</v>
      </c>
      <c r="B3" s="61">
        <v>0.09</v>
      </c>
      <c r="C3" s="61">
        <v>0.21</v>
      </c>
      <c r="D3" s="62">
        <v>0.13</v>
      </c>
      <c r="E3" s="62">
        <v>7.8850000000000003E-2</v>
      </c>
      <c r="F3" s="63">
        <v>2.5000000000000001E-2</v>
      </c>
      <c r="G3" s="2"/>
    </row>
    <row r="4" spans="1:7" x14ac:dyDescent="0.25">
      <c r="A4" s="60" t="s">
        <v>60</v>
      </c>
      <c r="B4" s="61">
        <v>0.11</v>
      </c>
      <c r="C4" s="62">
        <v>0.23</v>
      </c>
      <c r="D4" s="62">
        <v>0.12</v>
      </c>
      <c r="E4" s="62">
        <v>7.4999999999999997E-2</v>
      </c>
      <c r="F4" s="63">
        <v>0.03</v>
      </c>
      <c r="G4" s="2"/>
    </row>
    <row r="5" spans="1:7" ht="15.75" thickBot="1" x14ac:dyDescent="0.3">
      <c r="A5" s="16" t="s">
        <v>61</v>
      </c>
      <c r="B5" s="64">
        <v>0.06</v>
      </c>
      <c r="C5" s="65">
        <v>0.19</v>
      </c>
      <c r="D5" s="65">
        <v>0.14000000000000001</v>
      </c>
      <c r="E5" s="65">
        <v>8.5000000000000006E-2</v>
      </c>
      <c r="F5" s="66">
        <v>0.02</v>
      </c>
      <c r="G5" s="2"/>
    </row>
    <row r="6" spans="1:7" x14ac:dyDescent="0.25">
      <c r="A6" s="2"/>
      <c r="B6" s="2"/>
      <c r="C6" s="2"/>
      <c r="D6" s="2"/>
      <c r="E6" s="2"/>
      <c r="F6" s="2"/>
      <c r="G6"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4BD1C-4A50-4A48-AFB9-7976E5E699DE}">
  <dimension ref="A1:E22"/>
  <sheetViews>
    <sheetView workbookViewId="0">
      <selection activeCell="D2" sqref="D2"/>
    </sheetView>
  </sheetViews>
  <sheetFormatPr defaultRowHeight="15" x14ac:dyDescent="0.25"/>
  <cols>
    <col min="1" max="1" width="2.85546875" customWidth="1"/>
    <col min="2" max="2" width="72.7109375" customWidth="1"/>
    <col min="3" max="3" width="2.5703125" customWidth="1"/>
  </cols>
  <sheetData>
    <row r="1" spans="1:5" x14ac:dyDescent="0.25">
      <c r="A1" s="2"/>
      <c r="B1" s="102" t="s">
        <v>65</v>
      </c>
      <c r="C1" s="101"/>
      <c r="D1" s="100"/>
      <c r="E1" s="100"/>
    </row>
    <row r="2" spans="1:5" ht="105.75" thickBot="1" x14ac:dyDescent="0.3">
      <c r="A2" s="2"/>
      <c r="B2" s="103" t="s">
        <v>85</v>
      </c>
      <c r="C2" s="2"/>
    </row>
    <row r="3" spans="1:5" x14ac:dyDescent="0.25">
      <c r="A3" s="2"/>
      <c r="B3" s="104" t="s">
        <v>66</v>
      </c>
      <c r="C3" s="2"/>
    </row>
    <row r="4" spans="1:5" ht="120" customHeight="1" x14ac:dyDescent="0.25">
      <c r="A4" s="2"/>
      <c r="B4" s="105" t="s">
        <v>68</v>
      </c>
      <c r="C4" s="2"/>
    </row>
    <row r="5" spans="1:5" ht="150" x14ac:dyDescent="0.25">
      <c r="A5" s="2"/>
      <c r="B5" s="105" t="s">
        <v>67</v>
      </c>
      <c r="C5" s="2"/>
    </row>
    <row r="6" spans="1:5" ht="90.75" thickBot="1" x14ac:dyDescent="0.3">
      <c r="A6" s="2"/>
      <c r="B6" s="103" t="s">
        <v>69</v>
      </c>
      <c r="C6" s="2"/>
    </row>
    <row r="7" spans="1:5" x14ac:dyDescent="0.25">
      <c r="A7" s="2"/>
      <c r="B7" s="106" t="s">
        <v>70</v>
      </c>
      <c r="C7" s="2"/>
    </row>
    <row r="8" spans="1:5" ht="30" x14ac:dyDescent="0.25">
      <c r="A8" s="2"/>
      <c r="B8" s="105" t="s">
        <v>73</v>
      </c>
      <c r="C8" s="2"/>
    </row>
    <row r="9" spans="1:5" ht="45" x14ac:dyDescent="0.25">
      <c r="A9" s="2"/>
      <c r="B9" s="105" t="s">
        <v>72</v>
      </c>
      <c r="C9" s="2"/>
    </row>
    <row r="10" spans="1:5" ht="105" x14ac:dyDescent="0.25">
      <c r="A10" s="2"/>
      <c r="B10" s="105" t="s">
        <v>74</v>
      </c>
      <c r="C10" s="2"/>
    </row>
    <row r="11" spans="1:5" ht="90" x14ac:dyDescent="0.25">
      <c r="A11" s="2"/>
      <c r="B11" s="105" t="s">
        <v>75</v>
      </c>
      <c r="C11" s="2"/>
    </row>
    <row r="12" spans="1:5" ht="60.75" thickBot="1" x14ac:dyDescent="0.3">
      <c r="A12" s="2"/>
      <c r="B12" s="103" t="s">
        <v>71</v>
      </c>
      <c r="C12" s="2"/>
    </row>
    <row r="13" spans="1:5" x14ac:dyDescent="0.25">
      <c r="A13" s="2"/>
      <c r="B13" s="104" t="s">
        <v>76</v>
      </c>
      <c r="C13" s="2"/>
    </row>
    <row r="14" spans="1:5" ht="45" x14ac:dyDescent="0.25">
      <c r="A14" s="2"/>
      <c r="B14" s="105" t="s">
        <v>82</v>
      </c>
      <c r="C14" s="2"/>
    </row>
    <row r="15" spans="1:5" ht="30" x14ac:dyDescent="0.25">
      <c r="A15" s="2"/>
      <c r="B15" s="105" t="s">
        <v>83</v>
      </c>
      <c r="C15" s="2"/>
    </row>
    <row r="16" spans="1:5" ht="45" x14ac:dyDescent="0.25">
      <c r="A16" s="2"/>
      <c r="B16" s="105" t="s">
        <v>77</v>
      </c>
      <c r="C16" s="2"/>
    </row>
    <row r="17" spans="1:3" ht="45" x14ac:dyDescent="0.25">
      <c r="A17" s="2"/>
      <c r="B17" s="105" t="s">
        <v>78</v>
      </c>
      <c r="C17" s="2"/>
    </row>
    <row r="18" spans="1:3" ht="45.75" thickBot="1" x14ac:dyDescent="0.3">
      <c r="A18" s="2"/>
      <c r="B18" s="103" t="s">
        <v>79</v>
      </c>
      <c r="C18" s="2"/>
    </row>
    <row r="19" spans="1:3" x14ac:dyDescent="0.25">
      <c r="A19" s="2"/>
      <c r="B19" s="104" t="s">
        <v>80</v>
      </c>
      <c r="C19" s="2"/>
    </row>
    <row r="20" spans="1:3" ht="105" x14ac:dyDescent="0.25">
      <c r="A20" s="2"/>
      <c r="B20" s="105" t="s">
        <v>84</v>
      </c>
      <c r="C20" s="2"/>
    </row>
    <row r="21" spans="1:3" ht="45.75" thickBot="1" x14ac:dyDescent="0.3">
      <c r="A21" s="2"/>
      <c r="B21" s="103" t="s">
        <v>81</v>
      </c>
      <c r="C21" s="2"/>
    </row>
    <row r="22" spans="1:3" x14ac:dyDescent="0.25">
      <c r="A22" s="2"/>
      <c r="B22" s="2"/>
      <c r="C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Assumptions</vt:lpstr>
      <vt:lpstr>Historical Fin</vt:lpstr>
      <vt:lpstr>Forecast </vt:lpstr>
      <vt:lpstr>DCF</vt:lpstr>
      <vt:lpstr>Sensitives</vt:lpstr>
      <vt:lpstr>Scenarios</vt:lpstr>
      <vt:lpstr>Thesis &amp; Reccomendation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Cerqueira Caldas Mounier da Silveira</dc:creator>
  <cp:lastModifiedBy>Tomas Cerqueira Caldas Mounier da Silveira</cp:lastModifiedBy>
  <dcterms:created xsi:type="dcterms:W3CDTF">2026-06-08T14:26:33Z</dcterms:created>
  <dcterms:modified xsi:type="dcterms:W3CDTF">2026-06-20T22:26:01Z</dcterms:modified>
</cp:coreProperties>
</file>